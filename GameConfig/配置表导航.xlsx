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表目录" sheetId="1" state="visible" r:id="rId1"/>
    <sheet name="表详情" sheetId="2" state="visible" r:id="rId2"/>
    <sheet name="字段索引" sheetId="3" state="visible" r:id="rId3"/>
    <sheet name="doc" sheetId="4" state="visible" r:id="rId4"/>
  </sheets>
  <definedNames>
    <definedName name="_xlnm._FilterDatabase" localSheetId="0" hidden="1">'配置表目录'!$A$1:$I$1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497D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4F81B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文件夹</t>
        </is>
      </c>
      <c r="B1" s="1" t="inlineStr">
        <is>
          <t>文件名</t>
        </is>
      </c>
      <c r="C1" s="1" t="inlineStr">
        <is>
          <t>工作表名</t>
        </is>
      </c>
      <c r="D1" s="1" t="inlineStr">
        <is>
          <t>Luban表名</t>
        </is>
      </c>
      <c r="E1" s="1" t="inlineStr">
        <is>
          <t>记录类型</t>
        </is>
      </c>
      <c r="F1" s="1" t="inlineStr">
        <is>
          <t>模式</t>
        </is>
      </c>
      <c r="G1" s="1" t="inlineStr">
        <is>
          <t>数据行数</t>
        </is>
      </c>
      <c r="H1" s="1" t="inlineStr">
        <is>
          <t>字段数</t>
        </is>
      </c>
      <c r="I1" s="1" t="inlineStr">
        <is>
          <t>说明</t>
        </is>
      </c>
    </row>
    <row r="2">
      <c r="A2" s="2" t="inlineStr">
        <is>
          <t>Datas\Defines\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/>
      <c r="B3" s="5">
        <f>HYPERLINK("Datas\Defines\__beans__.xlsx","  __beans__.xlsx")</f>
        <v/>
      </c>
      <c r="C3" s="4" t="n"/>
      <c r="D3" s="4" t="n"/>
      <c r="E3" s="4" t="n"/>
      <c r="F3" s="4" t="n"/>
      <c r="G3" s="4" t="n"/>
      <c r="H3" s="4" t="n"/>
      <c r="I3" s="4" t="inlineStr">
        <is>
          <t>Luban 元定义表</t>
        </is>
      </c>
    </row>
    <row r="4">
      <c r="A4" s="4" t="n"/>
      <c r="B4" s="4" t="n"/>
      <c r="C4" s="5">
        <f>HYPERLINK("Datas\Defines\__beans__.xlsx#'Sheet1'!A1","Sheet1")</f>
        <v/>
      </c>
      <c r="D4" s="4" t="inlineStr"/>
      <c r="E4" s="4" t="inlineStr"/>
      <c r="F4" s="4" t="inlineStr"/>
      <c r="G4" s="4" t="n">
        <v>13</v>
      </c>
      <c r="H4" s="4" t="n">
        <v>9</v>
      </c>
      <c r="I4" s="4" t="inlineStr"/>
    </row>
    <row r="5">
      <c r="A5" s="4" t="n"/>
      <c r="B5" s="5">
        <f>HYPERLINK("Datas\Defines\__enums__.xlsx","  __enums__.xlsx")</f>
        <v/>
      </c>
      <c r="C5" s="4" t="n"/>
      <c r="D5" s="4" t="n"/>
      <c r="E5" s="4" t="n"/>
      <c r="F5" s="4" t="n"/>
      <c r="G5" s="4" t="n"/>
      <c r="H5" s="4" t="n"/>
      <c r="I5" s="4" t="inlineStr">
        <is>
          <t>Luban 元定义表</t>
        </is>
      </c>
    </row>
    <row r="6">
      <c r="A6" s="4" t="n"/>
      <c r="B6" s="4" t="n"/>
      <c r="C6" s="5">
        <f>HYPERLINK("Datas\Defines\__enums__.xlsx#'通用'!A1","通用")</f>
        <v/>
      </c>
      <c r="D6" s="4" t="inlineStr"/>
      <c r="E6" s="4" t="inlineStr"/>
      <c r="F6" s="4" t="inlineStr"/>
      <c r="G6" s="4" t="n">
        <v>5</v>
      </c>
      <c r="H6" s="4" t="n">
        <v>7</v>
      </c>
      <c r="I6" s="4" t="inlineStr"/>
    </row>
    <row r="7">
      <c r="A7" s="4" t="n"/>
      <c r="B7" s="4" t="n"/>
      <c r="C7" s="5">
        <f>HYPERLINK("Datas\Defines\__enums__.xlsx#'道具品质'!A1","道具品质")</f>
        <v/>
      </c>
      <c r="D7" s="4" t="inlineStr"/>
      <c r="E7" s="4" t="inlineStr"/>
      <c r="F7" s="4" t="inlineStr"/>
      <c r="G7" s="4" t="n">
        <v>9</v>
      </c>
      <c r="H7" s="4" t="n">
        <v>7</v>
      </c>
      <c r="I7" s="4" t="inlineStr"/>
    </row>
    <row r="8">
      <c r="A8" s="4" t="n"/>
      <c r="B8" s="4" t="n"/>
      <c r="C8" s="5">
        <f>HYPERLINK("Datas\Defines\__enums__.xlsx#'音效枚举'!A1","音效枚举")</f>
        <v/>
      </c>
      <c r="D8" s="4" t="inlineStr"/>
      <c r="E8" s="4" t="inlineStr"/>
      <c r="F8" s="4" t="inlineStr"/>
      <c r="G8" s="4" t="n">
        <v>2</v>
      </c>
      <c r="H8" s="4" t="n">
        <v>7</v>
      </c>
      <c r="I8" s="4" t="inlineStr"/>
    </row>
    <row r="9">
      <c r="A9" s="4" t="n"/>
      <c r="B9" s="4" t="n"/>
      <c r="C9" s="5">
        <f>HYPERLINK("Datas\Defines\__enums__.xlsx#'特效枚举'!A1","特效枚举")</f>
        <v/>
      </c>
      <c r="D9" s="4" t="inlineStr"/>
      <c r="E9" s="4" t="inlineStr"/>
      <c r="F9" s="4" t="inlineStr"/>
      <c r="G9" s="4" t="n">
        <v>1</v>
      </c>
      <c r="H9" s="4" t="n">
        <v>7</v>
      </c>
      <c r="I9" s="4" t="inlineStr"/>
    </row>
    <row r="10">
      <c r="A10" s="4" t="n"/>
      <c r="B10" s="4" t="n"/>
      <c r="C10" s="5">
        <f>HYPERLINK("Datas\Defines\__enums__.xlsx#'语言地区'!A1","语言地区")</f>
        <v/>
      </c>
      <c r="D10" s="4" t="inlineStr"/>
      <c r="E10" s="4" t="inlineStr"/>
      <c r="F10" s="4" t="inlineStr"/>
      <c r="G10" s="4" t="n">
        <v>8</v>
      </c>
      <c r="H10" s="4" t="n">
        <v>7</v>
      </c>
      <c r="I10" s="4" t="inlineStr"/>
    </row>
    <row r="11">
      <c r="A11" s="4" t="n"/>
      <c r="B11" s="5">
        <f>HYPERLINK("Datas\Defines\__tables__.xlsx","  __tables__.xlsx")</f>
        <v/>
      </c>
      <c r="C11" s="4" t="n"/>
      <c r="D11" s="4" t="n"/>
      <c r="E11" s="4" t="n"/>
      <c r="F11" s="4" t="n"/>
      <c r="G11" s="4" t="n"/>
      <c r="H11" s="4" t="n"/>
      <c r="I11" s="4" t="inlineStr">
        <is>
          <t>Luban 元定义表</t>
        </is>
      </c>
    </row>
    <row r="12">
      <c r="A12" s="4" t="n"/>
      <c r="B12" s="4" t="n"/>
      <c r="C12" s="5">
        <f>HYPERLINK("Datas\Defines\__tables__.xlsx#'Sheet1'!A1","Sheet1")</f>
        <v/>
      </c>
      <c r="D12" s="4" t="inlineStr"/>
      <c r="E12" s="4" t="inlineStr"/>
      <c r="F12" s="4" t="inlineStr"/>
      <c r="G12" s="4" t="n">
        <v>6</v>
      </c>
      <c r="H12" s="4" t="n">
        <v>10</v>
      </c>
      <c r="I12" s="4" t="inlineStr"/>
    </row>
    <row r="13">
      <c r="A13" s="2" t="inlineStr">
        <is>
          <t>Datas\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4" t="n"/>
      <c r="B14" s="5">
        <f>HYPERLINK("Datas\GM配置表.xlsx","  GM配置表.xlsx")</f>
        <v/>
      </c>
      <c r="C14" s="4" t="n"/>
      <c r="D14" s="4" t="n"/>
      <c r="E14" s="4" t="n"/>
      <c r="F14" s="4" t="n"/>
      <c r="G14" s="4" t="n"/>
      <c r="H14" s="4" t="n"/>
      <c r="I14" s="4" t="inlineStr">
        <is>
          <t>业务配置表</t>
        </is>
      </c>
    </row>
    <row r="15">
      <c r="A15" s="4" t="n"/>
      <c r="B15" s="4" t="n"/>
      <c r="C15" s="5">
        <f>HYPERLINK("Datas\GM配置表.xlsx#'Sheet1'!A1","Sheet1")</f>
        <v/>
      </c>
      <c r="D15" s="4" t="inlineStr">
        <is>
          <t>TbGmConfig</t>
        </is>
      </c>
      <c r="E15" s="4" t="inlineStr">
        <is>
          <t>GmConfig</t>
        </is>
      </c>
      <c r="F15" s="4" t="inlineStr">
        <is>
          <t>map</t>
        </is>
      </c>
      <c r="G15" s="4" t="n">
        <v>0</v>
      </c>
      <c r="H15" s="4" t="n">
        <v>9</v>
      </c>
      <c r="I15" s="4" t="inlineStr">
        <is>
          <t>GM配置表</t>
        </is>
      </c>
    </row>
    <row r="16">
      <c r="A16" s="4" t="n"/>
      <c r="B16" s="5">
        <f>HYPERLINK("Datas\文本配置表.xlsx","  文本配置表.xlsx")</f>
        <v/>
      </c>
      <c r="C16" s="4" t="n"/>
      <c r="D16" s="4" t="n"/>
      <c r="E16" s="4" t="n"/>
      <c r="F16" s="4" t="n"/>
      <c r="G16" s="4" t="n"/>
      <c r="H16" s="4" t="n"/>
      <c r="I16" s="4" t="inlineStr">
        <is>
          <t>业务配置表</t>
        </is>
      </c>
    </row>
    <row r="17">
      <c r="A17" s="4" t="n"/>
      <c r="B17" s="4" t="n"/>
      <c r="C17" s="5">
        <f>HYPERLINK("Datas\文本配置表.xlsx#'Sheet1'!A1","Sheet1")</f>
        <v/>
      </c>
      <c r="D17" s="4" t="inlineStr">
        <is>
          <t>TbTextConfig</t>
        </is>
      </c>
      <c r="E17" s="4" t="inlineStr">
        <is>
          <t>TextConfig</t>
        </is>
      </c>
      <c r="F17" s="4" t="inlineStr">
        <is>
          <t>map</t>
        </is>
      </c>
      <c r="G17" s="4" t="n">
        <v>25</v>
      </c>
      <c r="H17" s="4" t="n">
        <v>3</v>
      </c>
      <c r="I17" s="4" t="inlineStr">
        <is>
          <t>文本配置表</t>
        </is>
      </c>
    </row>
    <row r="18">
      <c r="A18" s="4" t="n"/>
      <c r="B18" s="5">
        <f>HYPERLINK("Datas\模型配置表.xlsx","  模型配置表.xlsx")</f>
        <v/>
      </c>
      <c r="C18" s="4" t="n"/>
      <c r="D18" s="4" t="n"/>
      <c r="E18" s="4" t="n"/>
      <c r="F18" s="4" t="n"/>
      <c r="G18" s="4" t="n"/>
      <c r="H18" s="4" t="n"/>
      <c r="I18" s="4" t="inlineStr">
        <is>
          <t>业务配置表</t>
        </is>
      </c>
    </row>
    <row r="19">
      <c r="A19" s="4" t="n"/>
      <c r="B19" s="4" t="n"/>
      <c r="C19" s="5">
        <f>HYPERLINK("Datas\模型配置表.xlsx#'Sheet1'!A1","Sheet1")</f>
        <v/>
      </c>
      <c r="D19" s="4" t="inlineStr">
        <is>
          <t>TbModelConfig</t>
        </is>
      </c>
      <c r="E19" s="4" t="inlineStr">
        <is>
          <t>ModelConfig</t>
        </is>
      </c>
      <c r="F19" s="4" t="inlineStr">
        <is>
          <t>map</t>
        </is>
      </c>
      <c r="G19" s="4" t="n">
        <v>0</v>
      </c>
      <c r="H19" s="4" t="n">
        <v>15</v>
      </c>
      <c r="I19" s="4" t="inlineStr">
        <is>
          <t>模型配置表</t>
        </is>
      </c>
    </row>
    <row r="20">
      <c r="A20" s="4" t="n"/>
      <c r="B20" s="5">
        <f>HYPERLINK("Datas\特效配置表.xlsx","  特效配置表.xlsx")</f>
        <v/>
      </c>
      <c r="C20" s="4" t="n"/>
      <c r="D20" s="4" t="n"/>
      <c r="E20" s="4" t="n"/>
      <c r="F20" s="4" t="n"/>
      <c r="G20" s="4" t="n"/>
      <c r="H20" s="4" t="n"/>
      <c r="I20" s="4" t="inlineStr">
        <is>
          <t>业务配置表</t>
        </is>
      </c>
    </row>
    <row r="21">
      <c r="A21" s="4" t="n"/>
      <c r="B21" s="4" t="n"/>
      <c r="C21" s="5">
        <f>HYPERLINK("Datas\特效配置表.xlsx#'Sheet1'!A1","Sheet1")</f>
        <v/>
      </c>
      <c r="D21" s="4" t="inlineStr">
        <is>
          <t>TbEffectConfig</t>
        </is>
      </c>
      <c r="E21" s="4" t="inlineStr">
        <is>
          <t>EffectConfig</t>
        </is>
      </c>
      <c r="F21" s="4" t="inlineStr">
        <is>
          <t>map</t>
        </is>
      </c>
      <c r="G21" s="4" t="n">
        <v>1</v>
      </c>
      <c r="H21" s="4" t="n">
        <v>5</v>
      </c>
      <c r="I21" s="4" t="inlineStr">
        <is>
          <t>特效配置表</t>
        </is>
      </c>
    </row>
    <row r="22">
      <c r="A22" s="4" t="n"/>
      <c r="B22" s="5">
        <f>HYPERLINK("Datas\道具配置表.xlsx","  道具配置表.xlsx")</f>
        <v/>
      </c>
      <c r="C22" s="4" t="n"/>
      <c r="D22" s="4" t="n"/>
      <c r="E22" s="4" t="n"/>
      <c r="F22" s="4" t="n"/>
      <c r="G22" s="4" t="n"/>
      <c r="H22" s="4" t="n"/>
      <c r="I22" s="4" t="inlineStr">
        <is>
          <t>业务配置表</t>
        </is>
      </c>
    </row>
    <row r="23">
      <c r="A23" s="4" t="n"/>
      <c r="B23" s="4" t="n"/>
      <c r="C23" s="5">
        <f>HYPERLINK("Datas\道具配置表.xlsx#'Sheet1'!A1","Sheet1")</f>
        <v/>
      </c>
      <c r="D23" s="4" t="inlineStr">
        <is>
          <t>TbItemConfig</t>
        </is>
      </c>
      <c r="E23" s="4" t="inlineStr">
        <is>
          <t>ItemConfig</t>
        </is>
      </c>
      <c r="F23" s="4" t="inlineStr">
        <is>
          <t>map</t>
        </is>
      </c>
      <c r="G23" s="4" t="n">
        <v>10</v>
      </c>
      <c r="H23" s="4" t="n">
        <v>9</v>
      </c>
      <c r="I23" s="4" t="inlineStr">
        <is>
          <t>道具配置表</t>
        </is>
      </c>
    </row>
    <row r="24">
      <c r="A24" s="4" t="n"/>
      <c r="B24" s="5">
        <f>HYPERLINK("Datas\音效配置表.xlsx","  音效配置表.xlsx")</f>
        <v/>
      </c>
      <c r="C24" s="4" t="n"/>
      <c r="D24" s="4" t="n"/>
      <c r="E24" s="4" t="n"/>
      <c r="F24" s="4" t="n"/>
      <c r="G24" s="4" t="n"/>
      <c r="H24" s="4" t="n"/>
      <c r="I24" s="4" t="inlineStr">
        <is>
          <t>业务配置表</t>
        </is>
      </c>
    </row>
    <row r="25">
      <c r="A25" s="4" t="n"/>
      <c r="B25" s="4" t="n"/>
      <c r="C25" s="5">
        <f>HYPERLINK("Datas\音效配置表.xlsx#'Sheet1'!A1","Sheet1")</f>
        <v/>
      </c>
      <c r="D25" s="4" t="inlineStr">
        <is>
          <t>TbSoundConfig</t>
        </is>
      </c>
      <c r="E25" s="4" t="inlineStr">
        <is>
          <t>SoundConfig</t>
        </is>
      </c>
      <c r="F25" s="4" t="inlineStr">
        <is>
          <t>map</t>
        </is>
      </c>
      <c r="G25" s="4" t="n">
        <v>2</v>
      </c>
      <c r="H25" s="4" t="n">
        <v>2</v>
      </c>
      <c r="I25" s="4" t="inlineStr">
        <is>
          <t>音效配置表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分类</t>
        </is>
      </c>
      <c r="B1" s="1" t="inlineStr">
        <is>
          <t>文件名</t>
        </is>
      </c>
      <c r="C1" s="1" t="inlineStr">
        <is>
          <t>工作表名</t>
        </is>
      </c>
      <c r="D1" s="1" t="inlineStr">
        <is>
          <t>Luban表名</t>
        </is>
      </c>
      <c r="E1" s="1" t="inlineStr">
        <is>
          <t>记录类型</t>
        </is>
      </c>
      <c r="F1" s="1" t="inlineStr">
        <is>
          <t>索引</t>
        </is>
      </c>
      <c r="G1" s="1" t="inlineStr">
        <is>
          <t>模式</t>
        </is>
      </c>
      <c r="H1" s="1" t="inlineStr">
        <is>
          <t>分组</t>
        </is>
      </c>
      <c r="I1" s="1" t="inlineStr">
        <is>
          <t>数据行数</t>
        </is>
      </c>
      <c r="J1" s="1" t="inlineStr">
        <is>
          <t>导出字段数</t>
        </is>
      </c>
      <c r="K1" s="1" t="inlineStr">
        <is>
          <t>总列数</t>
        </is>
      </c>
      <c r="L1" s="1" t="inlineStr">
        <is>
          <t>注册说明</t>
        </is>
      </c>
      <c r="M1" s="1" t="inlineStr">
        <is>
          <t>Tags</t>
        </is>
      </c>
    </row>
    <row r="2">
      <c r="A2" s="4" t="inlineStr">
        <is>
          <t>Luban元表</t>
        </is>
      </c>
      <c r="B2" s="5">
        <f>HYPERLINK("Datas\Defines\__beans__.xlsx","Defines\__beans__.xlsx")</f>
        <v/>
      </c>
      <c r="C2" s="5">
        <f>HYPERLINK("Datas\Defines\__beans__.xlsx#'Sheet1'!A1","Sheet1")</f>
        <v/>
      </c>
      <c r="D2" s="4" t="inlineStr"/>
      <c r="E2" s="4" t="inlineStr"/>
      <c r="F2" s="4" t="inlineStr"/>
      <c r="G2" s="4" t="inlineStr"/>
      <c r="H2" s="4" t="inlineStr"/>
      <c r="I2" s="4" t="n">
        <v>13</v>
      </c>
      <c r="J2" s="4" t="n">
        <v>9</v>
      </c>
      <c r="K2" s="4" t="n">
        <v>16</v>
      </c>
      <c r="L2" s="4" t="inlineStr"/>
      <c r="M2" s="4" t="inlineStr"/>
    </row>
    <row r="3">
      <c r="A3" s="4" t="inlineStr">
        <is>
          <t>Luban元表</t>
        </is>
      </c>
      <c r="B3" s="5">
        <f>HYPERLINK("Datas\Defines\__enums__.xlsx","Defines\__enums__.xlsx")</f>
        <v/>
      </c>
      <c r="C3" s="5">
        <f>HYPERLINK("Datas\Defines\__enums__.xlsx#'通用'!A1","通用")</f>
        <v/>
      </c>
      <c r="D3" s="4" t="inlineStr"/>
      <c r="E3" s="4" t="inlineStr"/>
      <c r="F3" s="4" t="inlineStr"/>
      <c r="G3" s="4" t="inlineStr"/>
      <c r="H3" s="4" t="inlineStr"/>
      <c r="I3" s="4" t="n">
        <v>5</v>
      </c>
      <c r="J3" s="4" t="n">
        <v>7</v>
      </c>
      <c r="K3" s="4" t="n">
        <v>12</v>
      </c>
      <c r="L3" s="4" t="inlineStr"/>
      <c r="M3" s="4" t="inlineStr"/>
    </row>
    <row r="4">
      <c r="A4" s="4" t="inlineStr">
        <is>
          <t>Luban元表</t>
        </is>
      </c>
      <c r="B4" s="5">
        <f>HYPERLINK("Datas\Defines\__enums__.xlsx","Defines\__enums__.xlsx")</f>
        <v/>
      </c>
      <c r="C4" s="5">
        <f>HYPERLINK("Datas\Defines\__enums__.xlsx#'道具品质'!A1","道具品质")</f>
        <v/>
      </c>
      <c r="D4" s="4" t="inlineStr"/>
      <c r="E4" s="4" t="inlineStr"/>
      <c r="F4" s="4" t="inlineStr"/>
      <c r="G4" s="4" t="inlineStr"/>
      <c r="H4" s="4" t="inlineStr"/>
      <c r="I4" s="4" t="n">
        <v>9</v>
      </c>
      <c r="J4" s="4" t="n">
        <v>7</v>
      </c>
      <c r="K4" s="4" t="n">
        <v>12</v>
      </c>
      <c r="L4" s="4" t="inlineStr"/>
      <c r="M4" s="4" t="inlineStr"/>
    </row>
    <row r="5">
      <c r="A5" s="4" t="inlineStr">
        <is>
          <t>Luban元表</t>
        </is>
      </c>
      <c r="B5" s="5">
        <f>HYPERLINK("Datas\Defines\__enums__.xlsx","Defines\__enums__.xlsx")</f>
        <v/>
      </c>
      <c r="C5" s="5">
        <f>HYPERLINK("Datas\Defines\__enums__.xlsx#'音效枚举'!A1","音效枚举")</f>
        <v/>
      </c>
      <c r="D5" s="4" t="inlineStr"/>
      <c r="E5" s="4" t="inlineStr"/>
      <c r="F5" s="4" t="inlineStr"/>
      <c r="G5" s="4" t="inlineStr"/>
      <c r="H5" s="4" t="inlineStr"/>
      <c r="I5" s="4" t="n">
        <v>2</v>
      </c>
      <c r="J5" s="4" t="n">
        <v>7</v>
      </c>
      <c r="K5" s="4" t="n">
        <v>12</v>
      </c>
      <c r="L5" s="4" t="inlineStr"/>
      <c r="M5" s="4" t="inlineStr"/>
    </row>
    <row r="6">
      <c r="A6" s="4" t="inlineStr">
        <is>
          <t>Luban元表</t>
        </is>
      </c>
      <c r="B6" s="5">
        <f>HYPERLINK("Datas\Defines\__enums__.xlsx","Defines\__enums__.xlsx")</f>
        <v/>
      </c>
      <c r="C6" s="5">
        <f>HYPERLINK("Datas\Defines\__enums__.xlsx#'特效枚举'!A1","特效枚举")</f>
        <v/>
      </c>
      <c r="D6" s="4" t="inlineStr"/>
      <c r="E6" s="4" t="inlineStr"/>
      <c r="F6" s="4" t="inlineStr"/>
      <c r="G6" s="4" t="inlineStr"/>
      <c r="H6" s="4" t="inlineStr"/>
      <c r="I6" s="4" t="n">
        <v>1</v>
      </c>
      <c r="J6" s="4" t="n">
        <v>7</v>
      </c>
      <c r="K6" s="4" t="n">
        <v>12</v>
      </c>
      <c r="L6" s="4" t="inlineStr"/>
      <c r="M6" s="4" t="inlineStr"/>
    </row>
    <row r="7">
      <c r="A7" s="4" t="inlineStr">
        <is>
          <t>Luban元表</t>
        </is>
      </c>
      <c r="B7" s="5">
        <f>HYPERLINK("Datas\Defines\__enums__.xlsx","Defines\__enums__.xlsx")</f>
        <v/>
      </c>
      <c r="C7" s="5">
        <f>HYPERLINK("Datas\Defines\__enums__.xlsx#'语言地区'!A1","语言地区")</f>
        <v/>
      </c>
      <c r="D7" s="4" t="inlineStr"/>
      <c r="E7" s="4" t="inlineStr"/>
      <c r="F7" s="4" t="inlineStr"/>
      <c r="G7" s="4" t="inlineStr"/>
      <c r="H7" s="4" t="inlineStr"/>
      <c r="I7" s="4" t="n">
        <v>8</v>
      </c>
      <c r="J7" s="4" t="n">
        <v>7</v>
      </c>
      <c r="K7" s="4" t="n">
        <v>12</v>
      </c>
      <c r="L7" s="4" t="inlineStr"/>
      <c r="M7" s="4" t="inlineStr"/>
    </row>
    <row r="8">
      <c r="A8" s="4" t="inlineStr">
        <is>
          <t>Luban元表</t>
        </is>
      </c>
      <c r="B8" s="5">
        <f>HYPERLINK("Datas\Defines\__tables__.xlsx","Defines\__tables__.xlsx")</f>
        <v/>
      </c>
      <c r="C8" s="5">
        <f>HYPERLINK("Datas\Defines\__tables__.xlsx#'Sheet1'!A1","Sheet1")</f>
        <v/>
      </c>
      <c r="D8" s="4" t="inlineStr"/>
      <c r="E8" s="4" t="inlineStr"/>
      <c r="F8" s="4" t="inlineStr"/>
      <c r="G8" s="4" t="inlineStr"/>
      <c r="H8" s="4" t="inlineStr"/>
      <c r="I8" s="4" t="n">
        <v>6</v>
      </c>
      <c r="J8" s="4" t="n">
        <v>10</v>
      </c>
      <c r="K8" s="4" t="n">
        <v>11</v>
      </c>
      <c r="L8" s="4" t="inlineStr"/>
      <c r="M8" s="4" t="inlineStr"/>
    </row>
    <row r="9">
      <c r="A9" s="4" t="inlineStr">
        <is>
          <t>业务配置表</t>
        </is>
      </c>
      <c r="B9" s="5">
        <f>HYPERLINK("Datas\GM配置表.xlsx","GM配置表.xlsx")</f>
        <v/>
      </c>
      <c r="C9" s="5">
        <f>HYPERLINK("Datas\GM配置表.xlsx#'Sheet1'!A1","Sheet1")</f>
        <v/>
      </c>
      <c r="D9" s="4" t="inlineStr">
        <is>
          <t>TbGmConfig</t>
        </is>
      </c>
      <c r="E9" s="4" t="inlineStr">
        <is>
          <t>GmConfig</t>
        </is>
      </c>
      <c r="F9" s="4" t="inlineStr"/>
      <c r="G9" s="4" t="inlineStr">
        <is>
          <t>map</t>
        </is>
      </c>
      <c r="H9" s="4" t="inlineStr"/>
      <c r="I9" s="4" t="n">
        <v>0</v>
      </c>
      <c r="J9" s="4" t="n">
        <v>9</v>
      </c>
      <c r="K9" s="4" t="n">
        <v>36</v>
      </c>
      <c r="L9" s="4" t="inlineStr">
        <is>
          <t>GM配置表</t>
        </is>
      </c>
      <c r="M9" s="4" t="inlineStr"/>
    </row>
    <row r="10">
      <c r="A10" s="4" t="inlineStr">
        <is>
          <t>业务配置表</t>
        </is>
      </c>
      <c r="B10" s="5">
        <f>HYPERLINK("Datas\文本配置表.xlsx","文本配置表.xlsx")</f>
        <v/>
      </c>
      <c r="C10" s="5">
        <f>HYPERLINK("Datas\文本配置表.xlsx#'Sheet1'!A1","Sheet1")</f>
        <v/>
      </c>
      <c r="D10" s="4" t="inlineStr">
        <is>
          <t>TbTextConfig</t>
        </is>
      </c>
      <c r="E10" s="4" t="inlineStr">
        <is>
          <t>TextConfig</t>
        </is>
      </c>
      <c r="F10" s="4" t="inlineStr"/>
      <c r="G10" s="4" t="inlineStr">
        <is>
          <t>map</t>
        </is>
      </c>
      <c r="H10" s="4" t="inlineStr"/>
      <c r="I10" s="4" t="n">
        <v>25</v>
      </c>
      <c r="J10" s="4" t="n">
        <v>3</v>
      </c>
      <c r="K10" s="4" t="n">
        <v>41</v>
      </c>
      <c r="L10" s="4" t="inlineStr">
        <is>
          <t>文本配置表</t>
        </is>
      </c>
      <c r="M10" s="4" t="inlineStr"/>
    </row>
    <row r="11">
      <c r="A11" s="4" t="inlineStr">
        <is>
          <t>业务配置表</t>
        </is>
      </c>
      <c r="B11" s="5">
        <f>HYPERLINK("Datas\模型配置表.xlsx","模型配置表.xlsx")</f>
        <v/>
      </c>
      <c r="C11" s="5">
        <f>HYPERLINK("Datas\模型配置表.xlsx#'Sheet1'!A1","Sheet1")</f>
        <v/>
      </c>
      <c r="D11" s="4" t="inlineStr">
        <is>
          <t>TbModelConfig</t>
        </is>
      </c>
      <c r="E11" s="4" t="inlineStr">
        <is>
          <t>ModelConfig</t>
        </is>
      </c>
      <c r="F11" s="4" t="inlineStr"/>
      <c r="G11" s="4" t="inlineStr">
        <is>
          <t>map</t>
        </is>
      </c>
      <c r="H11" s="4" t="inlineStr"/>
      <c r="I11" s="4" t="n">
        <v>0</v>
      </c>
      <c r="J11" s="4" t="n">
        <v>15</v>
      </c>
      <c r="K11" s="4" t="n">
        <v>36</v>
      </c>
      <c r="L11" s="4" t="inlineStr">
        <is>
          <t>模型配置表</t>
        </is>
      </c>
      <c r="M11" s="4" t="inlineStr"/>
    </row>
    <row r="12">
      <c r="A12" s="4" t="inlineStr">
        <is>
          <t>业务配置表</t>
        </is>
      </c>
      <c r="B12" s="5">
        <f>HYPERLINK("Datas\特效配置表.xlsx","特效配置表.xlsx")</f>
        <v/>
      </c>
      <c r="C12" s="5">
        <f>HYPERLINK("Datas\特效配置表.xlsx#'Sheet1'!A1","Sheet1")</f>
        <v/>
      </c>
      <c r="D12" s="4" t="inlineStr">
        <is>
          <t>TbEffectConfig</t>
        </is>
      </c>
      <c r="E12" s="4" t="inlineStr">
        <is>
          <t>EffectConfig</t>
        </is>
      </c>
      <c r="F12" s="4" t="inlineStr"/>
      <c r="G12" s="4" t="inlineStr">
        <is>
          <t>map</t>
        </is>
      </c>
      <c r="H12" s="4" t="inlineStr"/>
      <c r="I12" s="4" t="n">
        <v>1</v>
      </c>
      <c r="J12" s="4" t="n">
        <v>5</v>
      </c>
      <c r="K12" s="4" t="n">
        <v>36</v>
      </c>
      <c r="L12" s="4" t="inlineStr">
        <is>
          <t>特效配置表</t>
        </is>
      </c>
      <c r="M12" s="4" t="inlineStr"/>
    </row>
    <row r="13">
      <c r="A13" s="4" t="inlineStr">
        <is>
          <t>业务配置表</t>
        </is>
      </c>
      <c r="B13" s="5">
        <f>HYPERLINK("Datas\道具配置表.xlsx","道具配置表.xlsx")</f>
        <v/>
      </c>
      <c r="C13" s="5">
        <f>HYPERLINK("Datas\道具配置表.xlsx#'Sheet1'!A1","Sheet1")</f>
        <v/>
      </c>
      <c r="D13" s="4" t="inlineStr">
        <is>
          <t>TbItemConfig</t>
        </is>
      </c>
      <c r="E13" s="4" t="inlineStr">
        <is>
          <t>ItemConfig</t>
        </is>
      </c>
      <c r="F13" s="4" t="inlineStr"/>
      <c r="G13" s="4" t="inlineStr">
        <is>
          <t>map</t>
        </is>
      </c>
      <c r="H13" s="4" t="inlineStr"/>
      <c r="I13" s="4" t="n">
        <v>10</v>
      </c>
      <c r="J13" s="4" t="n">
        <v>9</v>
      </c>
      <c r="K13" s="4" t="n">
        <v>37</v>
      </c>
      <c r="L13" s="4" t="inlineStr">
        <is>
          <t>道具配置表</t>
        </is>
      </c>
      <c r="M13" s="4" t="inlineStr"/>
    </row>
    <row r="14">
      <c r="A14" s="4" t="inlineStr">
        <is>
          <t>业务配置表</t>
        </is>
      </c>
      <c r="B14" s="5">
        <f>HYPERLINK("Datas\音效配置表.xlsx","音效配置表.xlsx")</f>
        <v/>
      </c>
      <c r="C14" s="5">
        <f>HYPERLINK("Datas\音效配置表.xlsx#'Sheet1'!A1","Sheet1")</f>
        <v/>
      </c>
      <c r="D14" s="4" t="inlineStr">
        <is>
          <t>TbSoundConfig</t>
        </is>
      </c>
      <c r="E14" s="4" t="inlineStr">
        <is>
          <t>SoundConfig</t>
        </is>
      </c>
      <c r="F14" s="4" t="inlineStr"/>
      <c r="G14" s="4" t="inlineStr">
        <is>
          <t>map</t>
        </is>
      </c>
      <c r="H14" s="4" t="inlineStr"/>
      <c r="I14" s="4" t="n">
        <v>2</v>
      </c>
      <c r="J14" s="4" t="n">
        <v>2</v>
      </c>
      <c r="K14" s="4" t="n">
        <v>35</v>
      </c>
      <c r="L14" s="4" t="inlineStr">
        <is>
          <t>音效配置表</t>
        </is>
      </c>
      <c r="M1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文件名</t>
        </is>
      </c>
      <c r="B1" s="1" t="inlineStr">
        <is>
          <t>工作表名</t>
        </is>
      </c>
      <c r="C1" s="1" t="inlineStr">
        <is>
          <t>列号</t>
        </is>
      </c>
      <c r="D1" s="1" t="inlineStr">
        <is>
          <t>字段名</t>
        </is>
      </c>
      <c r="E1" s="1" t="inlineStr">
        <is>
          <t>类型</t>
        </is>
      </c>
      <c r="F1" s="1" t="inlineStr">
        <is>
          <t>分组</t>
        </is>
      </c>
      <c r="G1" s="1" t="inlineStr">
        <is>
          <t>说明</t>
        </is>
      </c>
      <c r="H1" s="1" t="inlineStr">
        <is>
          <t>注释列</t>
        </is>
      </c>
    </row>
    <row r="2">
      <c r="A2" s="5">
        <f>HYPERLINK("Datas\Defines\__beans__.xlsx","Defines\__beans__.xlsx")</f>
        <v/>
      </c>
      <c r="B2" s="5">
        <f>HYPERLINK("Datas\Defines\__beans__.xlsx#'Sheet1'!A1","Sheet1")</f>
        <v/>
      </c>
      <c r="C2" s="4" t="n">
        <v>2</v>
      </c>
      <c r="D2" s="4" t="inlineStr">
        <is>
          <t>full_name</t>
        </is>
      </c>
      <c r="E2" s="4" t="inlineStr"/>
      <c r="F2" s="4" t="inlineStr"/>
      <c r="G2" s="4" t="inlineStr">
        <is>
          <t>全名(包含模块和名字)</t>
        </is>
      </c>
      <c r="H2" s="4" t="inlineStr"/>
    </row>
    <row r="3">
      <c r="A3" s="5">
        <f>HYPERLINK("Datas\Defines\__beans__.xlsx","Defines\__beans__.xlsx")</f>
        <v/>
      </c>
      <c r="B3" s="5">
        <f>HYPERLINK("Datas\Defines\__beans__.xlsx#'Sheet1'!A1","Sheet1")</f>
        <v/>
      </c>
      <c r="C3" s="4" t="n">
        <v>3</v>
      </c>
      <c r="D3" s="4" t="inlineStr">
        <is>
          <t>parent</t>
        </is>
      </c>
      <c r="E3" s="4" t="inlineStr"/>
      <c r="F3" s="4" t="inlineStr"/>
      <c r="G3" s="4" t="inlineStr"/>
      <c r="H3" s="4" t="inlineStr"/>
    </row>
    <row r="4">
      <c r="A4" s="5">
        <f>HYPERLINK("Datas\Defines\__beans__.xlsx","Defines\__beans__.xlsx")</f>
        <v/>
      </c>
      <c r="B4" s="5">
        <f>HYPERLINK("Datas\Defines\__beans__.xlsx#'Sheet1'!A1","Sheet1")</f>
        <v/>
      </c>
      <c r="C4" s="4" t="n">
        <v>4</v>
      </c>
      <c r="D4" s="4" t="inlineStr">
        <is>
          <t>valueType</t>
        </is>
      </c>
      <c r="E4" s="4" t="inlineStr"/>
      <c r="F4" s="4" t="inlineStr"/>
      <c r="G4" s="4" t="inlineStr"/>
      <c r="H4" s="4" t="inlineStr"/>
    </row>
    <row r="5">
      <c r="A5" s="5">
        <f>HYPERLINK("Datas\Defines\__beans__.xlsx","Defines\__beans__.xlsx")</f>
        <v/>
      </c>
      <c r="B5" s="5">
        <f>HYPERLINK("Datas\Defines\__beans__.xlsx#'Sheet1'!A1","Sheet1")</f>
        <v/>
      </c>
      <c r="C5" s="4" t="n">
        <v>5</v>
      </c>
      <c r="D5" s="4" t="inlineStr">
        <is>
          <t>sep</t>
        </is>
      </c>
      <c r="E5" s="4" t="inlineStr"/>
      <c r="F5" s="4" t="inlineStr"/>
      <c r="G5" s="4" t="inlineStr">
        <is>
          <t>分割符</t>
        </is>
      </c>
      <c r="H5" s="4" t="inlineStr"/>
    </row>
    <row r="6">
      <c r="A6" s="5">
        <f>HYPERLINK("Datas\Defines\__beans__.xlsx","Defines\__beans__.xlsx")</f>
        <v/>
      </c>
      <c r="B6" s="5">
        <f>HYPERLINK("Datas\Defines\__beans__.xlsx#'Sheet1'!A1","Sheet1")</f>
        <v/>
      </c>
      <c r="C6" s="4" t="n">
        <v>6</v>
      </c>
      <c r="D6" s="4" t="inlineStr">
        <is>
          <t>alias</t>
        </is>
      </c>
      <c r="E6" s="4" t="inlineStr"/>
      <c r="F6" s="4" t="inlineStr"/>
      <c r="G6" s="4" t="inlineStr"/>
      <c r="H6" s="4" t="inlineStr"/>
    </row>
    <row r="7">
      <c r="A7" s="5">
        <f>HYPERLINK("Datas\Defines\__beans__.xlsx","Defines\__beans__.xlsx")</f>
        <v/>
      </c>
      <c r="B7" s="5">
        <f>HYPERLINK("Datas\Defines\__beans__.xlsx#'Sheet1'!A1","Sheet1")</f>
        <v/>
      </c>
      <c r="C7" s="4" t="n">
        <v>7</v>
      </c>
      <c r="D7" s="4" t="inlineStr">
        <is>
          <t>comment</t>
        </is>
      </c>
      <c r="E7" s="4" t="inlineStr"/>
      <c r="F7" s="4" t="inlineStr"/>
      <c r="G7" s="4" t="inlineStr"/>
      <c r="H7" s="4" t="inlineStr"/>
    </row>
    <row r="8">
      <c r="A8" s="5">
        <f>HYPERLINK("Datas\Defines\__beans__.xlsx","Defines\__beans__.xlsx")</f>
        <v/>
      </c>
      <c r="B8" s="5">
        <f>HYPERLINK("Datas\Defines\__beans__.xlsx#'Sheet1'!A1","Sheet1")</f>
        <v/>
      </c>
      <c r="C8" s="4" t="n">
        <v>8</v>
      </c>
      <c r="D8" s="4" t="inlineStr">
        <is>
          <t>group</t>
        </is>
      </c>
      <c r="E8" s="4" t="inlineStr"/>
      <c r="F8" s="4" t="inlineStr"/>
      <c r="G8" s="4" t="inlineStr"/>
      <c r="H8" s="4" t="inlineStr"/>
    </row>
    <row r="9">
      <c r="A9" s="5">
        <f>HYPERLINK("Datas\Defines\__beans__.xlsx","Defines\__beans__.xlsx")</f>
        <v/>
      </c>
      <c r="B9" s="5">
        <f>HYPERLINK("Datas\Defines\__beans__.xlsx#'Sheet1'!A1","Sheet1")</f>
        <v/>
      </c>
      <c r="C9" s="4" t="n">
        <v>9</v>
      </c>
      <c r="D9" s="4" t="inlineStr">
        <is>
          <t>tags</t>
        </is>
      </c>
      <c r="E9" s="4" t="inlineStr"/>
      <c r="F9" s="4" t="inlineStr"/>
      <c r="G9" s="4" t="inlineStr"/>
      <c r="H9" s="4" t="inlineStr"/>
    </row>
    <row r="10">
      <c r="A10" s="5">
        <f>HYPERLINK("Datas\Defines\__beans__.xlsx","Defines\__beans__.xlsx")</f>
        <v/>
      </c>
      <c r="B10" s="5">
        <f>HYPERLINK("Datas\Defines\__beans__.xlsx#'Sheet1'!A1","Sheet1")</f>
        <v/>
      </c>
      <c r="C10" s="4" t="n">
        <v>10</v>
      </c>
      <c r="D10" s="4" t="inlineStr">
        <is>
          <t>*fields</t>
        </is>
      </c>
      <c r="E10" s="4" t="inlineStr"/>
      <c r="F10" s="4" t="inlineStr"/>
      <c r="G10" s="4" t="inlineStr">
        <is>
          <t>字段名</t>
        </is>
      </c>
      <c r="H10" s="4" t="inlineStr"/>
    </row>
    <row r="11">
      <c r="A11" s="5">
        <f>HYPERLINK("Datas\Defines\__enums__.xlsx","Defines\__enums__.xlsx")</f>
        <v/>
      </c>
      <c r="B11" s="5">
        <f>HYPERLINK("Datas\Defines\__enums__.xlsx#'通用'!A1","通用")</f>
        <v/>
      </c>
      <c r="C11" s="4" t="n">
        <v>2</v>
      </c>
      <c r="D11" s="4" t="inlineStr">
        <is>
          <t>full_name</t>
        </is>
      </c>
      <c r="E11" s="4" t="inlineStr"/>
      <c r="F11" s="4" t="inlineStr"/>
      <c r="G11" s="4" t="inlineStr">
        <is>
          <t>全名(包含模块和名字)</t>
        </is>
      </c>
      <c r="H11" s="4" t="inlineStr"/>
    </row>
    <row r="12">
      <c r="A12" s="5">
        <f>HYPERLINK("Datas\Defines\__enums__.xlsx","Defines\__enums__.xlsx")</f>
        <v/>
      </c>
      <c r="B12" s="5">
        <f>HYPERLINK("Datas\Defines\__enums__.xlsx#'通用'!A1","通用")</f>
        <v/>
      </c>
      <c r="C12" s="4" t="n">
        <v>3</v>
      </c>
      <c r="D12" s="4" t="inlineStr">
        <is>
          <t>flags</t>
        </is>
      </c>
      <c r="E12" s="4" t="inlineStr"/>
      <c r="F12" s="4" t="inlineStr"/>
      <c r="G12" s="4" t="inlineStr">
        <is>
          <t>是否为位标记枚举（即每个枚举项为位标记数据，例如System.IO.FileMode,填数据时可以为READ|WRITE这样)</t>
        </is>
      </c>
      <c r="H12" s="4" t="inlineStr"/>
    </row>
    <row r="13">
      <c r="A13" s="5">
        <f>HYPERLINK("Datas\Defines\__enums__.xlsx","Defines\__enums__.xlsx")</f>
        <v/>
      </c>
      <c r="B13" s="5">
        <f>HYPERLINK("Datas\Defines\__enums__.xlsx#'通用'!A1","通用")</f>
        <v/>
      </c>
      <c r="C13" s="4" t="n">
        <v>4</v>
      </c>
      <c r="D13" s="4" t="inlineStr">
        <is>
          <t>unique</t>
        </is>
      </c>
      <c r="E13" s="4" t="inlineStr"/>
      <c r="F13" s="4" t="inlineStr"/>
      <c r="G13" s="4" t="inlineStr">
        <is>
          <t>枚举项是否唯一</t>
        </is>
      </c>
      <c r="H13" s="4" t="inlineStr"/>
    </row>
    <row r="14">
      <c r="A14" s="5">
        <f>HYPERLINK("Datas\Defines\__enums__.xlsx","Defines\__enums__.xlsx")</f>
        <v/>
      </c>
      <c r="B14" s="5">
        <f>HYPERLINK("Datas\Defines\__enums__.xlsx#'通用'!A1","通用")</f>
        <v/>
      </c>
      <c r="C14" s="4" t="n">
        <v>5</v>
      </c>
      <c r="D14" s="4" t="inlineStr">
        <is>
          <t>group</t>
        </is>
      </c>
      <c r="E14" s="4" t="inlineStr"/>
      <c r="F14" s="4" t="inlineStr"/>
      <c r="G14" s="4" t="inlineStr"/>
      <c r="H14" s="4" t="inlineStr"/>
    </row>
    <row r="15">
      <c r="A15" s="5">
        <f>HYPERLINK("Datas\Defines\__enums__.xlsx","Defines\__enums__.xlsx")</f>
        <v/>
      </c>
      <c r="B15" s="5">
        <f>HYPERLINK("Datas\Defines\__enums__.xlsx#'通用'!A1","通用")</f>
        <v/>
      </c>
      <c r="C15" s="4" t="n">
        <v>6</v>
      </c>
      <c r="D15" s="4" t="inlineStr">
        <is>
          <t>comment</t>
        </is>
      </c>
      <c r="E15" s="4" t="inlineStr"/>
      <c r="F15" s="4" t="inlineStr"/>
      <c r="G15" s="4" t="inlineStr"/>
      <c r="H15" s="4" t="inlineStr"/>
    </row>
    <row r="16">
      <c r="A16" s="5">
        <f>HYPERLINK("Datas\Defines\__enums__.xlsx","Defines\__enums__.xlsx")</f>
        <v/>
      </c>
      <c r="B16" s="5">
        <f>HYPERLINK("Datas\Defines\__enums__.xlsx#'通用'!A1","通用")</f>
        <v/>
      </c>
      <c r="C16" s="4" t="n">
        <v>7</v>
      </c>
      <c r="D16" s="4" t="inlineStr">
        <is>
          <t>tags</t>
        </is>
      </c>
      <c r="E16" s="4" t="inlineStr"/>
      <c r="F16" s="4" t="inlineStr"/>
      <c r="G16" s="4" t="inlineStr"/>
      <c r="H16" s="4" t="inlineStr"/>
    </row>
    <row r="17">
      <c r="A17" s="5">
        <f>HYPERLINK("Datas\Defines\__enums__.xlsx","Defines\__enums__.xlsx")</f>
        <v/>
      </c>
      <c r="B17" s="5">
        <f>HYPERLINK("Datas\Defines\__enums__.xlsx#'通用'!A1","通用")</f>
        <v/>
      </c>
      <c r="C17" s="4" t="n">
        <v>8</v>
      </c>
      <c r="D17" s="4" t="inlineStr">
        <is>
          <t>*items</t>
        </is>
      </c>
      <c r="E17" s="4" t="inlineStr"/>
      <c r="F17" s="4" t="inlineStr"/>
      <c r="G17" s="4" t="inlineStr">
        <is>
          <t>枚举名</t>
        </is>
      </c>
      <c r="H17" s="4" t="inlineStr"/>
    </row>
    <row r="18">
      <c r="A18" s="5">
        <f>HYPERLINK("Datas\Defines\__enums__.xlsx","Defines\__enums__.xlsx")</f>
        <v/>
      </c>
      <c r="B18" s="5">
        <f>HYPERLINK("Datas\Defines\__enums__.xlsx#'道具品质'!A1","道具品质")</f>
        <v/>
      </c>
      <c r="C18" s="4" t="n">
        <v>2</v>
      </c>
      <c r="D18" s="4" t="inlineStr">
        <is>
          <t>full_name</t>
        </is>
      </c>
      <c r="E18" s="4" t="inlineStr"/>
      <c r="F18" s="4" t="inlineStr"/>
      <c r="G18" s="4" t="inlineStr">
        <is>
          <t>全名(包含模块和名字)</t>
        </is>
      </c>
      <c r="H18" s="4" t="inlineStr"/>
    </row>
    <row r="19">
      <c r="A19" s="5">
        <f>HYPERLINK("Datas\Defines\__enums__.xlsx","Defines\__enums__.xlsx")</f>
        <v/>
      </c>
      <c r="B19" s="5">
        <f>HYPERLINK("Datas\Defines\__enums__.xlsx#'道具品质'!A1","道具品质")</f>
        <v/>
      </c>
      <c r="C19" s="4" t="n">
        <v>3</v>
      </c>
      <c r="D19" s="4" t="inlineStr">
        <is>
          <t>flags</t>
        </is>
      </c>
      <c r="E19" s="4" t="inlineStr"/>
      <c r="F19" s="4" t="inlineStr"/>
      <c r="G19" s="4" t="inlineStr">
        <is>
          <t>是否为位标记枚举（即每个枚举项为位标记数据，例如System.IO.FileMode,填数据时可以为READ|WRITE这样)</t>
        </is>
      </c>
      <c r="H19" s="4" t="inlineStr"/>
    </row>
    <row r="20">
      <c r="A20" s="5">
        <f>HYPERLINK("Datas\Defines\__enums__.xlsx","Defines\__enums__.xlsx")</f>
        <v/>
      </c>
      <c r="B20" s="5">
        <f>HYPERLINK("Datas\Defines\__enums__.xlsx#'道具品质'!A1","道具品质")</f>
        <v/>
      </c>
      <c r="C20" s="4" t="n">
        <v>4</v>
      </c>
      <c r="D20" s="4" t="inlineStr">
        <is>
          <t>unique</t>
        </is>
      </c>
      <c r="E20" s="4" t="inlineStr"/>
      <c r="F20" s="4" t="inlineStr"/>
      <c r="G20" s="4" t="inlineStr">
        <is>
          <t>枚举项是否唯一</t>
        </is>
      </c>
      <c r="H20" s="4" t="inlineStr"/>
    </row>
    <row r="21">
      <c r="A21" s="5">
        <f>HYPERLINK("Datas\Defines\__enums__.xlsx","Defines\__enums__.xlsx")</f>
        <v/>
      </c>
      <c r="B21" s="5">
        <f>HYPERLINK("Datas\Defines\__enums__.xlsx#'道具品质'!A1","道具品质")</f>
        <v/>
      </c>
      <c r="C21" s="4" t="n">
        <v>5</v>
      </c>
      <c r="D21" s="4" t="inlineStr">
        <is>
          <t>group</t>
        </is>
      </c>
      <c r="E21" s="4" t="inlineStr"/>
      <c r="F21" s="4" t="inlineStr"/>
      <c r="G21" s="4" t="inlineStr"/>
      <c r="H21" s="4" t="inlineStr"/>
    </row>
    <row r="22">
      <c r="A22" s="5">
        <f>HYPERLINK("Datas\Defines\__enums__.xlsx","Defines\__enums__.xlsx")</f>
        <v/>
      </c>
      <c r="B22" s="5">
        <f>HYPERLINK("Datas\Defines\__enums__.xlsx#'道具品质'!A1","道具品质")</f>
        <v/>
      </c>
      <c r="C22" s="4" t="n">
        <v>6</v>
      </c>
      <c r="D22" s="4" t="inlineStr">
        <is>
          <t>comment</t>
        </is>
      </c>
      <c r="E22" s="4" t="inlineStr"/>
      <c r="F22" s="4" t="inlineStr"/>
      <c r="G22" s="4" t="inlineStr"/>
      <c r="H22" s="4" t="inlineStr"/>
    </row>
    <row r="23">
      <c r="A23" s="5">
        <f>HYPERLINK("Datas\Defines\__enums__.xlsx","Defines\__enums__.xlsx")</f>
        <v/>
      </c>
      <c r="B23" s="5">
        <f>HYPERLINK("Datas\Defines\__enums__.xlsx#'道具品质'!A1","道具品质")</f>
        <v/>
      </c>
      <c r="C23" s="4" t="n">
        <v>7</v>
      </c>
      <c r="D23" s="4" t="inlineStr">
        <is>
          <t>tags</t>
        </is>
      </c>
      <c r="E23" s="4" t="inlineStr"/>
      <c r="F23" s="4" t="inlineStr"/>
      <c r="G23" s="4" t="inlineStr"/>
      <c r="H23" s="4" t="inlineStr"/>
    </row>
    <row r="24">
      <c r="A24" s="5">
        <f>HYPERLINK("Datas\Defines\__enums__.xlsx","Defines\__enums__.xlsx")</f>
        <v/>
      </c>
      <c r="B24" s="5">
        <f>HYPERLINK("Datas\Defines\__enums__.xlsx#'道具品质'!A1","道具品质")</f>
        <v/>
      </c>
      <c r="C24" s="4" t="n">
        <v>8</v>
      </c>
      <c r="D24" s="4" t="inlineStr">
        <is>
          <t>*items</t>
        </is>
      </c>
      <c r="E24" s="4" t="inlineStr"/>
      <c r="F24" s="4" t="inlineStr"/>
      <c r="G24" s="4" t="inlineStr">
        <is>
          <t>枚举名</t>
        </is>
      </c>
      <c r="H24" s="4" t="inlineStr"/>
    </row>
    <row r="25">
      <c r="A25" s="5">
        <f>HYPERLINK("Datas\Defines\__enums__.xlsx","Defines\__enums__.xlsx")</f>
        <v/>
      </c>
      <c r="B25" s="5">
        <f>HYPERLINK("Datas\Defines\__enums__.xlsx#'音效枚举'!A1","音效枚举")</f>
        <v/>
      </c>
      <c r="C25" s="4" t="n">
        <v>2</v>
      </c>
      <c r="D25" s="4" t="inlineStr">
        <is>
          <t>full_name</t>
        </is>
      </c>
      <c r="E25" s="4" t="inlineStr"/>
      <c r="F25" s="4" t="inlineStr"/>
      <c r="G25" s="4" t="inlineStr">
        <is>
          <t>全名(包含模块和名字)</t>
        </is>
      </c>
      <c r="H25" s="4" t="inlineStr"/>
    </row>
    <row r="26">
      <c r="A26" s="5">
        <f>HYPERLINK("Datas\Defines\__enums__.xlsx","Defines\__enums__.xlsx")</f>
        <v/>
      </c>
      <c r="B26" s="5">
        <f>HYPERLINK("Datas\Defines\__enums__.xlsx#'音效枚举'!A1","音效枚举")</f>
        <v/>
      </c>
      <c r="C26" s="4" t="n">
        <v>3</v>
      </c>
      <c r="D26" s="4" t="inlineStr">
        <is>
          <t>flags</t>
        </is>
      </c>
      <c r="E26" s="4" t="inlineStr"/>
      <c r="F26" s="4" t="inlineStr"/>
      <c r="G26" s="4" t="inlineStr">
        <is>
          <t>是否为位标记枚举（即每个枚举项为位标记数据，例如System.IO.FileMode,填数据时可以为READ|WRITE这样)</t>
        </is>
      </c>
      <c r="H26" s="4" t="inlineStr"/>
    </row>
    <row r="27">
      <c r="A27" s="5">
        <f>HYPERLINK("Datas\Defines\__enums__.xlsx","Defines\__enums__.xlsx")</f>
        <v/>
      </c>
      <c r="B27" s="5">
        <f>HYPERLINK("Datas\Defines\__enums__.xlsx#'音效枚举'!A1","音效枚举")</f>
        <v/>
      </c>
      <c r="C27" s="4" t="n">
        <v>4</v>
      </c>
      <c r="D27" s="4" t="inlineStr">
        <is>
          <t>unique</t>
        </is>
      </c>
      <c r="E27" s="4" t="inlineStr"/>
      <c r="F27" s="4" t="inlineStr"/>
      <c r="G27" s="4" t="inlineStr">
        <is>
          <t>枚举项是否唯一</t>
        </is>
      </c>
      <c r="H27" s="4" t="inlineStr"/>
    </row>
    <row r="28">
      <c r="A28" s="5">
        <f>HYPERLINK("Datas\Defines\__enums__.xlsx","Defines\__enums__.xlsx")</f>
        <v/>
      </c>
      <c r="B28" s="5">
        <f>HYPERLINK("Datas\Defines\__enums__.xlsx#'音效枚举'!A1","音效枚举")</f>
        <v/>
      </c>
      <c r="C28" s="4" t="n">
        <v>5</v>
      </c>
      <c r="D28" s="4" t="inlineStr">
        <is>
          <t>group</t>
        </is>
      </c>
      <c r="E28" s="4" t="inlineStr"/>
      <c r="F28" s="4" t="inlineStr"/>
      <c r="G28" s="4" t="inlineStr"/>
      <c r="H28" s="4" t="inlineStr"/>
    </row>
    <row r="29">
      <c r="A29" s="5">
        <f>HYPERLINK("Datas\Defines\__enums__.xlsx","Defines\__enums__.xlsx")</f>
        <v/>
      </c>
      <c r="B29" s="5">
        <f>HYPERLINK("Datas\Defines\__enums__.xlsx#'音效枚举'!A1","音效枚举")</f>
        <v/>
      </c>
      <c r="C29" s="4" t="n">
        <v>6</v>
      </c>
      <c r="D29" s="4" t="inlineStr">
        <is>
          <t>comment</t>
        </is>
      </c>
      <c r="E29" s="4" t="inlineStr"/>
      <c r="F29" s="4" t="inlineStr"/>
      <c r="G29" s="4" t="inlineStr"/>
      <c r="H29" s="4" t="inlineStr"/>
    </row>
    <row r="30">
      <c r="A30" s="5">
        <f>HYPERLINK("Datas\Defines\__enums__.xlsx","Defines\__enums__.xlsx")</f>
        <v/>
      </c>
      <c r="B30" s="5">
        <f>HYPERLINK("Datas\Defines\__enums__.xlsx#'音效枚举'!A1","音效枚举")</f>
        <v/>
      </c>
      <c r="C30" s="4" t="n">
        <v>7</v>
      </c>
      <c r="D30" s="4" t="inlineStr">
        <is>
          <t>tags</t>
        </is>
      </c>
      <c r="E30" s="4" t="inlineStr"/>
      <c r="F30" s="4" t="inlineStr"/>
      <c r="G30" s="4" t="inlineStr"/>
      <c r="H30" s="4" t="inlineStr"/>
    </row>
    <row r="31">
      <c r="A31" s="5">
        <f>HYPERLINK("Datas\Defines\__enums__.xlsx","Defines\__enums__.xlsx")</f>
        <v/>
      </c>
      <c r="B31" s="5">
        <f>HYPERLINK("Datas\Defines\__enums__.xlsx#'音效枚举'!A1","音效枚举")</f>
        <v/>
      </c>
      <c r="C31" s="4" t="n">
        <v>8</v>
      </c>
      <c r="D31" s="4" t="inlineStr">
        <is>
          <t>*items</t>
        </is>
      </c>
      <c r="E31" s="4" t="inlineStr"/>
      <c r="F31" s="4" t="inlineStr"/>
      <c r="G31" s="4" t="inlineStr">
        <is>
          <t>枚举名</t>
        </is>
      </c>
      <c r="H31" s="4" t="inlineStr"/>
    </row>
    <row r="32">
      <c r="A32" s="5">
        <f>HYPERLINK("Datas\Defines\__enums__.xlsx","Defines\__enums__.xlsx")</f>
        <v/>
      </c>
      <c r="B32" s="5">
        <f>HYPERLINK("Datas\Defines\__enums__.xlsx#'特效枚举'!A1","特效枚举")</f>
        <v/>
      </c>
      <c r="C32" s="4" t="n">
        <v>2</v>
      </c>
      <c r="D32" s="4" t="inlineStr">
        <is>
          <t>full_name</t>
        </is>
      </c>
      <c r="E32" s="4" t="inlineStr"/>
      <c r="F32" s="4" t="inlineStr"/>
      <c r="G32" s="4" t="inlineStr">
        <is>
          <t>全名(包含模块和名字)</t>
        </is>
      </c>
      <c r="H32" s="4" t="inlineStr"/>
    </row>
    <row r="33">
      <c r="A33" s="5">
        <f>HYPERLINK("Datas\Defines\__enums__.xlsx","Defines\__enums__.xlsx")</f>
        <v/>
      </c>
      <c r="B33" s="5">
        <f>HYPERLINK("Datas\Defines\__enums__.xlsx#'特效枚举'!A1","特效枚举")</f>
        <v/>
      </c>
      <c r="C33" s="4" t="n">
        <v>3</v>
      </c>
      <c r="D33" s="4" t="inlineStr">
        <is>
          <t>flags</t>
        </is>
      </c>
      <c r="E33" s="4" t="inlineStr"/>
      <c r="F33" s="4" t="inlineStr"/>
      <c r="G33" s="4" t="inlineStr">
        <is>
          <t>是否为位标记枚举（即每个枚举项为位标记数据，例如System.IO.FileMode,填数据时可以为READ|WRITE这样)</t>
        </is>
      </c>
      <c r="H33" s="4" t="inlineStr"/>
    </row>
    <row r="34">
      <c r="A34" s="5">
        <f>HYPERLINK("Datas\Defines\__enums__.xlsx","Defines\__enums__.xlsx")</f>
        <v/>
      </c>
      <c r="B34" s="5">
        <f>HYPERLINK("Datas\Defines\__enums__.xlsx#'特效枚举'!A1","特效枚举")</f>
        <v/>
      </c>
      <c r="C34" s="4" t="n">
        <v>4</v>
      </c>
      <c r="D34" s="4" t="inlineStr">
        <is>
          <t>unique</t>
        </is>
      </c>
      <c r="E34" s="4" t="inlineStr"/>
      <c r="F34" s="4" t="inlineStr"/>
      <c r="G34" s="4" t="inlineStr">
        <is>
          <t>枚举项是否唯一</t>
        </is>
      </c>
      <c r="H34" s="4" t="inlineStr"/>
    </row>
    <row r="35">
      <c r="A35" s="5">
        <f>HYPERLINK("Datas\Defines\__enums__.xlsx","Defines\__enums__.xlsx")</f>
        <v/>
      </c>
      <c r="B35" s="5">
        <f>HYPERLINK("Datas\Defines\__enums__.xlsx#'特效枚举'!A1","特效枚举")</f>
        <v/>
      </c>
      <c r="C35" s="4" t="n">
        <v>5</v>
      </c>
      <c r="D35" s="4" t="inlineStr">
        <is>
          <t>group</t>
        </is>
      </c>
      <c r="E35" s="4" t="inlineStr"/>
      <c r="F35" s="4" t="inlineStr"/>
      <c r="G35" s="4" t="inlineStr"/>
      <c r="H35" s="4" t="inlineStr"/>
    </row>
    <row r="36">
      <c r="A36" s="5">
        <f>HYPERLINK("Datas\Defines\__enums__.xlsx","Defines\__enums__.xlsx")</f>
        <v/>
      </c>
      <c r="B36" s="5">
        <f>HYPERLINK("Datas\Defines\__enums__.xlsx#'特效枚举'!A1","特效枚举")</f>
        <v/>
      </c>
      <c r="C36" s="4" t="n">
        <v>6</v>
      </c>
      <c r="D36" s="4" t="inlineStr">
        <is>
          <t>comment</t>
        </is>
      </c>
      <c r="E36" s="4" t="inlineStr"/>
      <c r="F36" s="4" t="inlineStr"/>
      <c r="G36" s="4" t="inlineStr"/>
      <c r="H36" s="4" t="inlineStr"/>
    </row>
    <row r="37">
      <c r="A37" s="5">
        <f>HYPERLINK("Datas\Defines\__enums__.xlsx","Defines\__enums__.xlsx")</f>
        <v/>
      </c>
      <c r="B37" s="5">
        <f>HYPERLINK("Datas\Defines\__enums__.xlsx#'特效枚举'!A1","特效枚举")</f>
        <v/>
      </c>
      <c r="C37" s="4" t="n">
        <v>7</v>
      </c>
      <c r="D37" s="4" t="inlineStr">
        <is>
          <t>tags</t>
        </is>
      </c>
      <c r="E37" s="4" t="inlineStr"/>
      <c r="F37" s="4" t="inlineStr"/>
      <c r="G37" s="4" t="inlineStr"/>
      <c r="H37" s="4" t="inlineStr"/>
    </row>
    <row r="38">
      <c r="A38" s="5">
        <f>HYPERLINK("Datas\Defines\__enums__.xlsx","Defines\__enums__.xlsx")</f>
        <v/>
      </c>
      <c r="B38" s="5">
        <f>HYPERLINK("Datas\Defines\__enums__.xlsx#'特效枚举'!A1","特效枚举")</f>
        <v/>
      </c>
      <c r="C38" s="4" t="n">
        <v>8</v>
      </c>
      <c r="D38" s="4" t="inlineStr">
        <is>
          <t>*items</t>
        </is>
      </c>
      <c r="E38" s="4" t="inlineStr"/>
      <c r="F38" s="4" t="inlineStr"/>
      <c r="G38" s="4" t="inlineStr">
        <is>
          <t>枚举名</t>
        </is>
      </c>
      <c r="H38" s="4" t="inlineStr"/>
    </row>
    <row r="39">
      <c r="A39" s="5">
        <f>HYPERLINK("Datas\Defines\__enums__.xlsx","Defines\__enums__.xlsx")</f>
        <v/>
      </c>
      <c r="B39" s="5">
        <f>HYPERLINK("Datas\Defines\__enums__.xlsx#'语言地区'!A1","语言地区")</f>
        <v/>
      </c>
      <c r="C39" s="4" t="n">
        <v>2</v>
      </c>
      <c r="D39" s="4" t="inlineStr">
        <is>
          <t>full_name</t>
        </is>
      </c>
      <c r="E39" s="4" t="inlineStr"/>
      <c r="F39" s="4" t="inlineStr"/>
      <c r="G39" s="4" t="inlineStr">
        <is>
          <t>全名(包含模块和名字)</t>
        </is>
      </c>
      <c r="H39" s="4" t="inlineStr"/>
    </row>
    <row r="40">
      <c r="A40" s="5">
        <f>HYPERLINK("Datas\Defines\__enums__.xlsx","Defines\__enums__.xlsx")</f>
        <v/>
      </c>
      <c r="B40" s="5">
        <f>HYPERLINK("Datas\Defines\__enums__.xlsx#'语言地区'!A1","语言地区")</f>
        <v/>
      </c>
      <c r="C40" s="4" t="n">
        <v>3</v>
      </c>
      <c r="D40" s="4" t="inlineStr">
        <is>
          <t>flags</t>
        </is>
      </c>
      <c r="E40" s="4" t="inlineStr"/>
      <c r="F40" s="4" t="inlineStr"/>
      <c r="G40" s="4" t="inlineStr">
        <is>
          <t>是否为位标记枚举（即每个枚举项为位标记数据，例如System.IO.FileMode,填数据时可以为READ|WRITE这样)</t>
        </is>
      </c>
      <c r="H40" s="4" t="inlineStr"/>
    </row>
    <row r="41">
      <c r="A41" s="5">
        <f>HYPERLINK("Datas\Defines\__enums__.xlsx","Defines\__enums__.xlsx")</f>
        <v/>
      </c>
      <c r="B41" s="5">
        <f>HYPERLINK("Datas\Defines\__enums__.xlsx#'语言地区'!A1","语言地区")</f>
        <v/>
      </c>
      <c r="C41" s="4" t="n">
        <v>4</v>
      </c>
      <c r="D41" s="4" t="inlineStr">
        <is>
          <t>unique</t>
        </is>
      </c>
      <c r="E41" s="4" t="inlineStr"/>
      <c r="F41" s="4" t="inlineStr"/>
      <c r="G41" s="4" t="inlineStr">
        <is>
          <t>枚举项是否唯一</t>
        </is>
      </c>
      <c r="H41" s="4" t="inlineStr"/>
    </row>
    <row r="42">
      <c r="A42" s="5">
        <f>HYPERLINK("Datas\Defines\__enums__.xlsx","Defines\__enums__.xlsx")</f>
        <v/>
      </c>
      <c r="B42" s="5">
        <f>HYPERLINK("Datas\Defines\__enums__.xlsx#'语言地区'!A1","语言地区")</f>
        <v/>
      </c>
      <c r="C42" s="4" t="n">
        <v>5</v>
      </c>
      <c r="D42" s="4" t="inlineStr">
        <is>
          <t>group</t>
        </is>
      </c>
      <c r="E42" s="4" t="inlineStr"/>
      <c r="F42" s="4" t="inlineStr"/>
      <c r="G42" s="4" t="inlineStr"/>
      <c r="H42" s="4" t="inlineStr"/>
    </row>
    <row r="43">
      <c r="A43" s="5">
        <f>HYPERLINK("Datas\Defines\__enums__.xlsx","Defines\__enums__.xlsx")</f>
        <v/>
      </c>
      <c r="B43" s="5">
        <f>HYPERLINK("Datas\Defines\__enums__.xlsx#'语言地区'!A1","语言地区")</f>
        <v/>
      </c>
      <c r="C43" s="4" t="n">
        <v>6</v>
      </c>
      <c r="D43" s="4" t="inlineStr">
        <is>
          <t>comment</t>
        </is>
      </c>
      <c r="E43" s="4" t="inlineStr"/>
      <c r="F43" s="4" t="inlineStr"/>
      <c r="G43" s="4" t="inlineStr"/>
      <c r="H43" s="4" t="inlineStr"/>
    </row>
    <row r="44">
      <c r="A44" s="5">
        <f>HYPERLINK("Datas\Defines\__enums__.xlsx","Defines\__enums__.xlsx")</f>
        <v/>
      </c>
      <c r="B44" s="5">
        <f>HYPERLINK("Datas\Defines\__enums__.xlsx#'语言地区'!A1","语言地区")</f>
        <v/>
      </c>
      <c r="C44" s="4" t="n">
        <v>7</v>
      </c>
      <c r="D44" s="4" t="inlineStr">
        <is>
          <t>tags</t>
        </is>
      </c>
      <c r="E44" s="4" t="inlineStr"/>
      <c r="F44" s="4" t="inlineStr"/>
      <c r="G44" s="4" t="inlineStr"/>
      <c r="H44" s="4" t="inlineStr"/>
    </row>
    <row r="45">
      <c r="A45" s="5">
        <f>HYPERLINK("Datas\Defines\__enums__.xlsx","Defines\__enums__.xlsx")</f>
        <v/>
      </c>
      <c r="B45" s="5">
        <f>HYPERLINK("Datas\Defines\__enums__.xlsx#'语言地区'!A1","语言地区")</f>
        <v/>
      </c>
      <c r="C45" s="4" t="n">
        <v>8</v>
      </c>
      <c r="D45" s="4" t="inlineStr">
        <is>
          <t>*items</t>
        </is>
      </c>
      <c r="E45" s="4" t="inlineStr"/>
      <c r="F45" s="4" t="inlineStr"/>
      <c r="G45" s="4" t="inlineStr">
        <is>
          <t>枚举名</t>
        </is>
      </c>
      <c r="H45" s="4" t="inlineStr"/>
    </row>
    <row r="46">
      <c r="A46" s="5">
        <f>HYPERLINK("Datas\Defines\__tables__.xlsx","Defines\__tables__.xlsx")</f>
        <v/>
      </c>
      <c r="B46" s="5">
        <f>HYPERLINK("Datas\Defines\__tables__.xlsx#'Sheet1'!A1","Sheet1")</f>
        <v/>
      </c>
      <c r="C46" s="4" t="n">
        <v>2</v>
      </c>
      <c r="D46" s="4" t="inlineStr">
        <is>
          <t>full_name</t>
        </is>
      </c>
      <c r="E46" s="4" t="inlineStr"/>
      <c r="F46" s="4" t="inlineStr"/>
      <c r="G46" s="4" t="inlineStr">
        <is>
          <t>全名(包含模块和名字)</t>
        </is>
      </c>
      <c r="H46" s="4" t="inlineStr"/>
    </row>
    <row r="47">
      <c r="A47" s="5">
        <f>HYPERLINK("Datas\Defines\__tables__.xlsx","Defines\__tables__.xlsx")</f>
        <v/>
      </c>
      <c r="B47" s="5">
        <f>HYPERLINK("Datas\Defines\__tables__.xlsx#'Sheet1'!A1","Sheet1")</f>
        <v/>
      </c>
      <c r="C47" s="4" t="n">
        <v>3</v>
      </c>
      <c r="D47" s="4" t="inlineStr">
        <is>
          <t>value_type</t>
        </is>
      </c>
      <c r="E47" s="4" t="inlineStr"/>
      <c r="F47" s="4" t="inlineStr"/>
      <c r="G47" s="4" t="inlineStr">
        <is>
          <t>记录类名</t>
        </is>
      </c>
      <c r="H47" s="4" t="inlineStr"/>
    </row>
    <row r="48">
      <c r="A48" s="5">
        <f>HYPERLINK("Datas\Defines\__tables__.xlsx","Defines\__tables__.xlsx")</f>
        <v/>
      </c>
      <c r="B48" s="5">
        <f>HYPERLINK("Datas\Defines\__tables__.xlsx#'Sheet1'!A1","Sheet1")</f>
        <v/>
      </c>
      <c r="C48" s="4" t="n">
        <v>4</v>
      </c>
      <c r="D48" s="4" t="inlineStr">
        <is>
          <t>read_schema_from_file</t>
        </is>
      </c>
      <c r="E48" s="4" t="inlineStr"/>
      <c r="F48" s="4" t="inlineStr"/>
      <c r="G48" s="4" t="inlineStr">
        <is>
          <t>从excel读取定义</t>
        </is>
      </c>
      <c r="H48" s="4" t="inlineStr"/>
    </row>
    <row r="49">
      <c r="A49" s="5">
        <f>HYPERLINK("Datas\Defines\__tables__.xlsx","Defines\__tables__.xlsx")</f>
        <v/>
      </c>
      <c r="B49" s="5">
        <f>HYPERLINK("Datas\Defines\__tables__.xlsx#'Sheet1'!A1","Sheet1")</f>
        <v/>
      </c>
      <c r="C49" s="4" t="n">
        <v>5</v>
      </c>
      <c r="D49" s="4" t="inlineStr">
        <is>
          <t>input</t>
        </is>
      </c>
      <c r="E49" s="4" t="inlineStr"/>
      <c r="F49" s="4" t="inlineStr"/>
      <c r="G49" s="4" t="inlineStr">
        <is>
          <t>文件列表</t>
        </is>
      </c>
      <c r="H49" s="4" t="inlineStr"/>
    </row>
    <row r="50">
      <c r="A50" s="5">
        <f>HYPERLINK("Datas\Defines\__tables__.xlsx","Defines\__tables__.xlsx")</f>
        <v/>
      </c>
      <c r="B50" s="5">
        <f>HYPERLINK("Datas\Defines\__tables__.xlsx#'Sheet1'!A1","Sheet1")</f>
        <v/>
      </c>
      <c r="C50" s="4" t="n">
        <v>6</v>
      </c>
      <c r="D50" s="4" t="inlineStr">
        <is>
          <t>index</t>
        </is>
      </c>
      <c r="E50" s="4" t="inlineStr"/>
      <c r="F50" s="4" t="inlineStr"/>
      <c r="G50" s="4" t="inlineStr">
        <is>
          <t>表id字段</t>
        </is>
      </c>
      <c r="H50" s="4" t="inlineStr"/>
    </row>
    <row r="51">
      <c r="A51" s="5">
        <f>HYPERLINK("Datas\Defines\__tables__.xlsx","Defines\__tables__.xlsx")</f>
        <v/>
      </c>
      <c r="B51" s="5">
        <f>HYPERLINK("Datas\Defines\__tables__.xlsx#'Sheet1'!A1","Sheet1")</f>
        <v/>
      </c>
      <c r="C51" s="4" t="n">
        <v>7</v>
      </c>
      <c r="D51" s="4" t="inlineStr">
        <is>
          <t>mode</t>
        </is>
      </c>
      <c r="E51" s="4" t="inlineStr"/>
      <c r="F51" s="4" t="inlineStr"/>
      <c r="G51" s="4" t="inlineStr">
        <is>
          <t>模式</t>
        </is>
      </c>
      <c r="H51" s="4" t="inlineStr"/>
    </row>
    <row r="52">
      <c r="A52" s="5">
        <f>HYPERLINK("Datas\Defines\__tables__.xlsx","Defines\__tables__.xlsx")</f>
        <v/>
      </c>
      <c r="B52" s="5">
        <f>HYPERLINK("Datas\Defines\__tables__.xlsx#'Sheet1'!A1","Sheet1")</f>
        <v/>
      </c>
      <c r="C52" s="4" t="n">
        <v>8</v>
      </c>
      <c r="D52" s="4" t="inlineStr">
        <is>
          <t>group</t>
        </is>
      </c>
      <c r="E52" s="4" t="inlineStr"/>
      <c r="F52" s="4" t="inlineStr"/>
      <c r="G52" s="4" t="inlineStr">
        <is>
          <t>分组</t>
        </is>
      </c>
      <c r="H52" s="4" t="inlineStr"/>
    </row>
    <row r="53">
      <c r="A53" s="5">
        <f>HYPERLINK("Datas\Defines\__tables__.xlsx","Defines\__tables__.xlsx")</f>
        <v/>
      </c>
      <c r="B53" s="5">
        <f>HYPERLINK("Datas\Defines\__tables__.xlsx#'Sheet1'!A1","Sheet1")</f>
        <v/>
      </c>
      <c r="C53" s="4" t="n">
        <v>9</v>
      </c>
      <c r="D53" s="4" t="inlineStr">
        <is>
          <t>comment</t>
        </is>
      </c>
      <c r="E53" s="4" t="inlineStr"/>
      <c r="F53" s="4" t="inlineStr"/>
      <c r="G53" s="4" t="inlineStr">
        <is>
          <t>注释</t>
        </is>
      </c>
      <c r="H53" s="4" t="inlineStr"/>
    </row>
    <row r="54">
      <c r="A54" s="5">
        <f>HYPERLINK("Datas\Defines\__tables__.xlsx","Defines\__tables__.xlsx")</f>
        <v/>
      </c>
      <c r="B54" s="5">
        <f>HYPERLINK("Datas\Defines\__tables__.xlsx#'Sheet1'!A1","Sheet1")</f>
        <v/>
      </c>
      <c r="C54" s="4" t="n">
        <v>10</v>
      </c>
      <c r="D54" s="4" t="inlineStr">
        <is>
          <t>tags</t>
        </is>
      </c>
      <c r="E54" s="4" t="inlineStr"/>
      <c r="F54" s="4" t="inlineStr"/>
      <c r="G54" s="4" t="inlineStr"/>
      <c r="H54" s="4" t="inlineStr"/>
    </row>
    <row r="55">
      <c r="A55" s="5">
        <f>HYPERLINK("Datas\Defines\__tables__.xlsx","Defines\__tables__.xlsx")</f>
        <v/>
      </c>
      <c r="B55" s="5">
        <f>HYPERLINK("Datas\Defines\__tables__.xlsx#'Sheet1'!A1","Sheet1")</f>
        <v/>
      </c>
      <c r="C55" s="4" t="n">
        <v>11</v>
      </c>
      <c r="D55" s="4" t="inlineStr">
        <is>
          <t>output</t>
        </is>
      </c>
      <c r="E55" s="4" t="inlineStr"/>
      <c r="F55" s="4" t="inlineStr"/>
      <c r="G55" s="4" t="inlineStr">
        <is>
          <t>输出文件名</t>
        </is>
      </c>
      <c r="H55" s="4" t="inlineStr"/>
    </row>
    <row r="56">
      <c r="A56" s="5">
        <f>HYPERLINK("Datas\GM配置表.xlsx","GM配置表.xlsx")</f>
        <v/>
      </c>
      <c r="B56" s="5">
        <f>HYPERLINK("Datas\GM配置表.xlsx#'Sheet1'!A1","Sheet1")</f>
        <v/>
      </c>
      <c r="C56" s="4" t="n">
        <v>2</v>
      </c>
      <c r="D56" s="4" t="inlineStr">
        <is>
          <t>GmID</t>
        </is>
      </c>
      <c r="E56" s="4" t="inlineStr">
        <is>
          <t>int</t>
        </is>
      </c>
      <c r="F56" s="4" t="inlineStr"/>
      <c r="G56" s="4" t="inlineStr">
        <is>
          <t>GMID</t>
        </is>
      </c>
      <c r="H56" s="4" t="inlineStr"/>
    </row>
    <row r="57">
      <c r="A57" s="5">
        <f>HYPERLINK("Datas\GM配置表.xlsx","GM配置表.xlsx")</f>
        <v/>
      </c>
      <c r="B57" s="5">
        <f>HYPERLINK("Datas\GM配置表.xlsx#'Sheet1'!A1","Sheet1")</f>
        <v/>
      </c>
      <c r="C57" s="4" t="n">
        <v>3</v>
      </c>
      <c r="D57" s="4" t="inlineStr">
        <is>
          <t>GmType</t>
        </is>
      </c>
      <c r="E57" s="4" t="inlineStr">
        <is>
          <t>int</t>
        </is>
      </c>
      <c r="F57" s="4" t="inlineStr"/>
      <c r="G57" s="4" t="inlineStr">
        <is>
          <t>Gm类型（1:客户端，2:服务器）</t>
        </is>
      </c>
      <c r="H57" s="4" t="inlineStr"/>
    </row>
    <row r="58">
      <c r="A58" s="5">
        <f>HYPERLINK("Datas\GM配置表.xlsx","GM配置表.xlsx")</f>
        <v/>
      </c>
      <c r="B58" s="5">
        <f>HYPERLINK("Datas\GM配置表.xlsx#'Sheet1'!A1","Sheet1")</f>
        <v/>
      </c>
      <c r="C58" s="4" t="n">
        <v>4</v>
      </c>
      <c r="D58" s="4" t="inlineStr">
        <is>
          <t>GmDesc</t>
        </is>
      </c>
      <c r="E58" s="4" t="inlineStr">
        <is>
          <t>string</t>
        </is>
      </c>
      <c r="F58" s="4" t="inlineStr"/>
      <c r="G58" s="4" t="inlineStr">
        <is>
          <t>描述（按钮名）</t>
        </is>
      </c>
      <c r="H58" s="4" t="inlineStr"/>
    </row>
    <row r="59">
      <c r="A59" s="5">
        <f>HYPERLINK("Datas\GM配置表.xlsx","GM配置表.xlsx")</f>
        <v/>
      </c>
      <c r="B59" s="5">
        <f>HYPERLINK("Datas\GM配置表.xlsx#'Sheet1'!A1","Sheet1")</f>
        <v/>
      </c>
      <c r="C59" s="4" t="n">
        <v>5</v>
      </c>
      <c r="D59" s="4" t="inlineStr">
        <is>
          <t>GmOrder</t>
        </is>
      </c>
      <c r="E59" s="4" t="inlineStr">
        <is>
          <t>string</t>
        </is>
      </c>
      <c r="F59" s="4" t="inlineStr"/>
      <c r="G59" s="4" t="inlineStr">
        <is>
          <t>GM命令</t>
        </is>
      </c>
      <c r="H59" s="4" t="inlineStr"/>
    </row>
    <row r="60">
      <c r="A60" s="5">
        <f>HYPERLINK("Datas\GM配置表.xlsx","GM配置表.xlsx")</f>
        <v/>
      </c>
      <c r="B60" s="5">
        <f>HYPERLINK("Datas\GM配置表.xlsx#'Sheet1'!A1","Sheet1")</f>
        <v/>
      </c>
      <c r="C60" s="4" t="n">
        <v>6</v>
      </c>
      <c r="D60" s="4" t="inlineStr">
        <is>
          <t>OrderID</t>
        </is>
      </c>
      <c r="E60" s="4" t="inlineStr">
        <is>
          <t>int</t>
        </is>
      </c>
      <c r="F60" s="4" t="inlineStr"/>
      <c r="G60" s="4" t="inlineStr">
        <is>
          <t>命令ID</t>
        </is>
      </c>
      <c r="H60" s="4" t="inlineStr"/>
    </row>
    <row r="61">
      <c r="A61" s="5">
        <f>HYPERLINK("Datas\GM配置表.xlsx","GM配置表.xlsx")</f>
        <v/>
      </c>
      <c r="B61" s="5">
        <f>HYPERLINK("Datas\GM配置表.xlsx#'Sheet1'!A1","Sheet1")</f>
        <v/>
      </c>
      <c r="C61" s="4" t="n">
        <v>7</v>
      </c>
      <c r="D61" s="4" t="inlineStr">
        <is>
          <t>Num</t>
        </is>
      </c>
      <c r="E61" s="4" t="inlineStr">
        <is>
          <t>int</t>
        </is>
      </c>
      <c r="F61" s="4" t="inlineStr"/>
      <c r="G61" s="4" t="inlineStr">
        <is>
          <t>数量</t>
        </is>
      </c>
      <c r="H61" s="4" t="inlineStr"/>
    </row>
    <row r="62">
      <c r="A62" s="5">
        <f>HYPERLINK("Datas\GM配置表.xlsx","GM配置表.xlsx")</f>
        <v/>
      </c>
      <c r="B62" s="5">
        <f>HYPERLINK("Datas\GM配置表.xlsx#'Sheet1'!A1","Sheet1")</f>
        <v/>
      </c>
      <c r="C62" s="4" t="n">
        <v>8</v>
      </c>
      <c r="D62" s="4" t="inlineStr">
        <is>
          <t>ExecuteDirectly</t>
        </is>
      </c>
      <c r="E62" s="4" t="inlineStr">
        <is>
          <t>bool</t>
        </is>
      </c>
      <c r="F62" s="4" t="inlineStr"/>
      <c r="G62" s="4" t="inlineStr">
        <is>
          <t>是否直接执行</t>
        </is>
      </c>
      <c r="H62" s="4" t="inlineStr"/>
    </row>
    <row r="63">
      <c r="A63" s="5">
        <f>HYPERLINK("Datas\GM配置表.xlsx","GM配置表.xlsx")</f>
        <v/>
      </c>
      <c r="B63" s="5">
        <f>HYPERLINK("Datas\GM配置表.xlsx#'Sheet1'!A1","Sheet1")</f>
        <v/>
      </c>
      <c r="C63" s="4" t="n">
        <v>9</v>
      </c>
      <c r="D63" s="4" t="inlineStr">
        <is>
          <t>ExecuteClose</t>
        </is>
      </c>
      <c r="E63" s="4" t="inlineStr">
        <is>
          <t>bool</t>
        </is>
      </c>
      <c r="F63" s="4" t="inlineStr"/>
      <c r="G63" s="4" t="inlineStr">
        <is>
          <t>是否执行后关闭</t>
        </is>
      </c>
      <c r="H63" s="4" t="inlineStr"/>
    </row>
    <row r="64">
      <c r="A64" s="5">
        <f>HYPERLINK("Datas\GM配置表.xlsx","GM配置表.xlsx")</f>
        <v/>
      </c>
      <c r="B64" s="5">
        <f>HYPERLINK("Datas\GM配置表.xlsx#'Sheet1'!A1","Sheet1")</f>
        <v/>
      </c>
      <c r="C64" s="4" t="n">
        <v>10</v>
      </c>
      <c r="D64" s="4" t="inlineStr">
        <is>
          <t>AssConfig</t>
        </is>
      </c>
      <c r="E64" s="4" t="inlineStr">
        <is>
          <t>int</t>
        </is>
      </c>
      <c r="F64" s="4" t="inlineStr"/>
      <c r="G64" s="4" t="inlineStr">
        <is>
          <t>关联配置</t>
        </is>
      </c>
      <c r="H64" s="4" t="inlineStr"/>
    </row>
    <row r="65">
      <c r="A65" s="5">
        <f>HYPERLINK("Datas\GM配置表.xlsx","GM配置表.xlsx")</f>
        <v/>
      </c>
      <c r="B65" s="5">
        <f>HYPERLINK("Datas\GM配置表.xlsx#'Sheet1'!A1","Sheet1")</f>
        <v/>
      </c>
      <c r="C65" s="4" t="n">
        <v>11</v>
      </c>
      <c r="D65" s="4" t="inlineStr">
        <is>
          <t>##</t>
        </is>
      </c>
      <c r="E65" s="4" t="inlineStr"/>
      <c r="F65" s="4" t="inlineStr"/>
      <c r="G65" s="4" t="inlineStr">
        <is>
          <t>备注</t>
        </is>
      </c>
      <c r="H65" s="4" t="inlineStr">
        <is>
          <t>是</t>
        </is>
      </c>
    </row>
    <row r="66">
      <c r="A66" s="5">
        <f>HYPERLINK("Datas\文本配置表.xlsx","文本配置表.xlsx")</f>
        <v/>
      </c>
      <c r="B66" s="5">
        <f>HYPERLINK("Datas\文本配置表.xlsx#'Sheet1'!A1","Sheet1")</f>
        <v/>
      </c>
      <c r="C66" s="4" t="n">
        <v>2</v>
      </c>
      <c r="D66" s="4" t="inlineStr">
        <is>
          <t>ID</t>
        </is>
      </c>
      <c r="E66" s="4" t="inlineStr">
        <is>
          <t>int</t>
        </is>
      </c>
      <c r="F66" s="4" t="inlineStr"/>
      <c r="G66" s="4" t="inlineStr">
        <is>
          <t>文本ID</t>
        </is>
      </c>
      <c r="H66" s="4" t="inlineStr"/>
    </row>
    <row r="67">
      <c r="A67" s="5">
        <f>HYPERLINK("Datas\文本配置表.xlsx","文本配置表.xlsx")</f>
        <v/>
      </c>
      <c r="B67" s="5">
        <f>HYPERLINK("Datas\文本配置表.xlsx#'Sheet1'!A1","Sheet1")</f>
        <v/>
      </c>
      <c r="C67" s="4" t="n">
        <v>3</v>
      </c>
      <c r="D67" s="4" t="inlineStr">
        <is>
          <t>ArgNum</t>
        </is>
      </c>
      <c r="E67" s="4" t="inlineStr">
        <is>
          <t>int</t>
        </is>
      </c>
      <c r="F67" s="4" t="inlineStr"/>
      <c r="G67" s="4" t="inlineStr">
        <is>
          <t>参数数量</t>
        </is>
      </c>
      <c r="H67" s="4" t="inlineStr"/>
    </row>
    <row r="68">
      <c r="A68" s="5">
        <f>HYPERLINK("Datas\文本配置表.xlsx","文本配置表.xlsx")</f>
        <v/>
      </c>
      <c r="B68" s="5">
        <f>HYPERLINK("Datas\文本配置表.xlsx#'Sheet1'!A1","Sheet1")</f>
        <v/>
      </c>
      <c r="C68" s="4" t="n">
        <v>4</v>
      </c>
      <c r="D68" s="4" t="inlineStr">
        <is>
          <t>##备注</t>
        </is>
      </c>
      <c r="E68" s="4" t="inlineStr"/>
      <c r="F68" s="4" t="inlineStr"/>
      <c r="G68" s="4" t="inlineStr">
        <is>
          <t>备注</t>
        </is>
      </c>
      <c r="H68" s="4" t="inlineStr">
        <is>
          <t>是</t>
        </is>
      </c>
    </row>
    <row r="69">
      <c r="A69" s="5">
        <f>HYPERLINK("Datas\文本配置表.xlsx","文本配置表.xlsx")</f>
        <v/>
      </c>
      <c r="B69" s="5">
        <f>HYPERLINK("Datas\文本配置表.xlsx#'Sheet1'!A1","Sheet1")</f>
        <v/>
      </c>
      <c r="C69" s="4" t="n">
        <v>5</v>
      </c>
      <c r="D69" s="4" t="inlineStr">
        <is>
          <t>Content</t>
        </is>
      </c>
      <c r="E69" s="4" t="inlineStr">
        <is>
          <t>array,string</t>
        </is>
      </c>
      <c r="F69" s="4" t="inlineStr"/>
      <c r="G69" s="4" t="inlineStr">
        <is>
          <t>内容是 string 数组类型，数组索引对应 LocalizationType 枚举</t>
        </is>
      </c>
      <c r="H69" s="4" t="inlineStr"/>
    </row>
    <row r="70">
      <c r="A70" s="5">
        <f>HYPERLINK("Datas\文本配置表.xlsx","文本配置表.xlsx")</f>
        <v/>
      </c>
      <c r="B70" s="5">
        <f>HYPERLINK("Datas\文本配置表.xlsx#'Sheet1'!A1","Sheet1")</f>
        <v/>
      </c>
      <c r="C70" s="4" t="n">
        <v>12</v>
      </c>
      <c r="D70" s="4" t="inlineStr">
        <is>
          <t>##备注</t>
        </is>
      </c>
      <c r="E70" s="4" t="inlineStr"/>
      <c r="F70" s="4" t="inlineStr"/>
      <c r="G70" s="4" t="inlineStr">
        <is>
          <t>备注内容</t>
        </is>
      </c>
      <c r="H70" s="4" t="inlineStr">
        <is>
          <t>是</t>
        </is>
      </c>
    </row>
    <row r="71">
      <c r="A71" s="5">
        <f>HYPERLINK("Datas\模型配置表.xlsx","模型配置表.xlsx")</f>
        <v/>
      </c>
      <c r="B71" s="5">
        <f>HYPERLINK("Datas\模型配置表.xlsx#'Sheet1'!A1","Sheet1")</f>
        <v/>
      </c>
      <c r="C71" s="4" t="n">
        <v>2</v>
      </c>
      <c r="D71" s="4" t="inlineStr">
        <is>
          <t>ModelID</t>
        </is>
      </c>
      <c r="E71" s="4" t="inlineStr">
        <is>
          <t>int</t>
        </is>
      </c>
      <c r="F71" s="4" t="inlineStr"/>
      <c r="G71" s="4" t="inlineStr">
        <is>
          <t>模型ID</t>
        </is>
      </c>
      <c r="H71" s="4" t="inlineStr"/>
    </row>
    <row r="72">
      <c r="A72" s="5">
        <f>HYPERLINK("Datas\模型配置表.xlsx","模型配置表.xlsx")</f>
        <v/>
      </c>
      <c r="B72" s="5">
        <f>HYPERLINK("Datas\模型配置表.xlsx#'Sheet1'!A1","Sheet1")</f>
        <v/>
      </c>
      <c r="C72" s="4" t="n">
        <v>3</v>
      </c>
      <c r="D72" s="4" t="inlineStr">
        <is>
          <t>##备注</t>
        </is>
      </c>
      <c r="E72" s="4" t="inlineStr"/>
      <c r="F72" s="4" t="inlineStr"/>
      <c r="G72" s="4" t="inlineStr">
        <is>
          <t>备注内容</t>
        </is>
      </c>
      <c r="H72" s="4" t="inlineStr">
        <is>
          <t>是</t>
        </is>
      </c>
    </row>
    <row r="73">
      <c r="A73" s="5">
        <f>HYPERLINK("Datas\模型配置表.xlsx","模型配置表.xlsx")</f>
        <v/>
      </c>
      <c r="B73" s="5">
        <f>HYPERLINK("Datas\模型配置表.xlsx#'Sheet1'!A1","Sheet1")</f>
        <v/>
      </c>
      <c r="C73" s="4" t="n">
        <v>4</v>
      </c>
      <c r="D73" s="4" t="inlineStr">
        <is>
          <t>UISpineLocation</t>
        </is>
      </c>
      <c r="E73" s="4" t="inlineStr">
        <is>
          <t>string</t>
        </is>
      </c>
      <c r="F73" s="4" t="inlineStr"/>
      <c r="G73" s="4" t="inlineStr">
        <is>
          <t>UISpine可寻址地址</t>
        </is>
      </c>
      <c r="H73" s="4" t="inlineStr"/>
    </row>
    <row r="74">
      <c r="A74" s="5">
        <f>HYPERLINK("Datas\模型配置表.xlsx","模型配置表.xlsx")</f>
        <v/>
      </c>
      <c r="B74" s="5">
        <f>HYPERLINK("Datas\模型配置表.xlsx#'Sheet1'!A1","Sheet1")</f>
        <v/>
      </c>
      <c r="C74" s="4" t="n">
        <v>5</v>
      </c>
      <c r="D74" s="4" t="inlineStr">
        <is>
          <t>ModelLocation</t>
        </is>
      </c>
      <c r="E74" s="4" t="inlineStr">
        <is>
          <t>string</t>
        </is>
      </c>
      <c r="F74" s="4" t="inlineStr"/>
      <c r="G74" s="4" t="inlineStr">
        <is>
          <t>Model可寻址地址</t>
        </is>
      </c>
      <c r="H74" s="4" t="inlineStr"/>
    </row>
    <row r="75">
      <c r="A75" s="5">
        <f>HYPERLINK("Datas\模型配置表.xlsx","模型配置表.xlsx")</f>
        <v/>
      </c>
      <c r="B75" s="5">
        <f>HYPERLINK("Datas\模型配置表.xlsx#'Sheet1'!A1","Sheet1")</f>
        <v/>
      </c>
      <c r="C75" s="4" t="n">
        <v>6</v>
      </c>
      <c r="D75" s="4" t="inlineStr">
        <is>
          <t>FrameCfgLocation</t>
        </is>
      </c>
      <c r="E75" s="4" t="inlineStr">
        <is>
          <t>string</t>
        </is>
      </c>
      <c r="F75" s="4" t="inlineStr"/>
      <c r="G75" s="4" t="inlineStr">
        <is>
          <t>帧动画配置文件</t>
        </is>
      </c>
      <c r="H75" s="4" t="inlineStr"/>
    </row>
    <row r="76">
      <c r="A76" s="5">
        <f>HYPERLINK("Datas\模型配置表.xlsx","模型配置表.xlsx")</f>
        <v/>
      </c>
      <c r="B76" s="5">
        <f>HYPERLINK("Datas\模型配置表.xlsx#'Sheet1'!A1","Sheet1")</f>
        <v/>
      </c>
      <c r="C76" s="4" t="n">
        <v>7</v>
      </c>
      <c r="D76" s="4" t="inlineStr">
        <is>
          <t>DeathFrameSpeed</t>
        </is>
      </c>
      <c r="E76" s="4" t="inlineStr">
        <is>
          <t>float</t>
        </is>
      </c>
      <c r="F76" s="4" t="inlineStr"/>
      <c r="G76" s="4" t="inlineStr">
        <is>
          <t>死亡动画速度</t>
        </is>
      </c>
      <c r="H76" s="4" t="inlineStr"/>
    </row>
    <row r="77">
      <c r="A77" s="5">
        <f>HYPERLINK("Datas\模型配置表.xlsx","模型配置表.xlsx")</f>
        <v/>
      </c>
      <c r="B77" s="5">
        <f>HYPERLINK("Datas\模型配置表.xlsx#'Sheet1'!A1","Sheet1")</f>
        <v/>
      </c>
      <c r="C77" s="4" t="n">
        <v>8</v>
      </c>
      <c r="D77" s="4" t="inlineStr">
        <is>
          <t>ModelScale</t>
        </is>
      </c>
      <c r="E77" s="4" t="inlineStr">
        <is>
          <t>float</t>
        </is>
      </c>
      <c r="F77" s="4" t="inlineStr"/>
      <c r="G77" s="4" t="inlineStr">
        <is>
          <t>模型缩放</t>
        </is>
      </c>
      <c r="H77" s="4" t="inlineStr"/>
    </row>
    <row r="78">
      <c r="A78" s="5">
        <f>HYPERLINK("Datas\模型配置表.xlsx","模型配置表.xlsx")</f>
        <v/>
      </c>
      <c r="B78" s="5">
        <f>HYPERLINK("Datas\模型配置表.xlsx#'Sheet1'!A1","Sheet1")</f>
        <v/>
      </c>
      <c r="C78" s="4" t="n">
        <v>9</v>
      </c>
      <c r="D78" s="4" t="inlineStr">
        <is>
          <t>UIScale</t>
        </is>
      </c>
      <c r="E78" s="4" t="inlineStr">
        <is>
          <t>float</t>
        </is>
      </c>
      <c r="F78" s="4" t="inlineStr"/>
      <c r="G78" s="4" t="inlineStr">
        <is>
          <t>UI模型缩放</t>
        </is>
      </c>
      <c r="H78" s="4" t="inlineStr"/>
    </row>
    <row r="79">
      <c r="A79" s="5">
        <f>HYPERLINK("Datas\模型配置表.xlsx","模型配置表.xlsx")</f>
        <v/>
      </c>
      <c r="B79" s="5">
        <f>HYPERLINK("Datas\模型配置表.xlsx#'Sheet1'!A1","Sheet1")</f>
        <v/>
      </c>
      <c r="C79" s="4" t="n">
        <v>10</v>
      </c>
      <c r="D79" s="4" t="inlineStr">
        <is>
          <t>ShowType</t>
        </is>
      </c>
      <c r="E79" s="4" t="inlineStr">
        <is>
          <t>byte</t>
        </is>
      </c>
      <c r="F79" s="4" t="inlineStr"/>
      <c r="G79" s="4" t="inlineStr">
        <is>
          <t>显示类型</t>
        </is>
      </c>
      <c r="H79" s="4" t="inlineStr"/>
    </row>
    <row r="80">
      <c r="A80" s="5">
        <f>HYPERLINK("Datas\模型配置表.xlsx","模型配置表.xlsx")</f>
        <v/>
      </c>
      <c r="B80" s="5">
        <f>HYPERLINK("Datas\模型配置表.xlsx#'Sheet1'!A1","Sheet1")</f>
        <v/>
      </c>
      <c r="C80" s="4" t="n">
        <v>11</v>
      </c>
      <c r="D80" s="4" t="inlineStr">
        <is>
          <t>ShowShadow</t>
        </is>
      </c>
      <c r="E80" s="4" t="inlineStr">
        <is>
          <t>byte</t>
        </is>
      </c>
      <c r="F80" s="4" t="inlineStr"/>
      <c r="G80" s="4" t="inlineStr">
        <is>
          <t>显示阴影</t>
        </is>
      </c>
      <c r="H80" s="4" t="inlineStr"/>
    </row>
    <row r="81">
      <c r="A81" s="5">
        <f>HYPERLINK("Datas\模型配置表.xlsx","模型配置表.xlsx")</f>
        <v/>
      </c>
      <c r="B81" s="5">
        <f>HYPERLINK("Datas\模型配置表.xlsx#'Sheet1'!A1","Sheet1")</f>
        <v/>
      </c>
      <c r="C81" s="4" t="n">
        <v>12</v>
      </c>
      <c r="D81" s="4" t="inlineStr">
        <is>
          <t>ShadowWidth</t>
        </is>
      </c>
      <c r="E81" s="4" t="inlineStr">
        <is>
          <t>float</t>
        </is>
      </c>
      <c r="F81" s="4" t="inlineStr"/>
      <c r="G81" s="4" t="inlineStr">
        <is>
          <t>阴影宽度</t>
        </is>
      </c>
      <c r="H81" s="4" t="inlineStr"/>
    </row>
    <row r="82">
      <c r="A82" s="5">
        <f>HYPERLINK("Datas\模型配置表.xlsx","模型配置表.xlsx")</f>
        <v/>
      </c>
      <c r="B82" s="5">
        <f>HYPERLINK("Datas\模型配置表.xlsx#'Sheet1'!A1","Sheet1")</f>
        <v/>
      </c>
      <c r="C82" s="4" t="n">
        <v>13</v>
      </c>
      <c r="D82" s="4" t="inlineStr">
        <is>
          <t>ShadowHeight</t>
        </is>
      </c>
      <c r="E82" s="4" t="inlineStr">
        <is>
          <t>float</t>
        </is>
      </c>
      <c r="F82" s="4" t="inlineStr"/>
      <c r="G82" s="4" t="inlineStr">
        <is>
          <t>阴影高度</t>
        </is>
      </c>
      <c r="H82" s="4" t="inlineStr"/>
    </row>
    <row r="83">
      <c r="A83" s="5">
        <f>HYPERLINK("Datas\模型配置表.xlsx","模型配置表.xlsx")</f>
        <v/>
      </c>
      <c r="B83" s="5">
        <f>HYPERLINK("Datas\模型配置表.xlsx#'Sheet1'!A1","Sheet1")</f>
        <v/>
      </c>
      <c r="C83" s="4" t="n">
        <v>14</v>
      </c>
      <c r="D83" s="4" t="inlineStr">
        <is>
          <t>ShadowScaleX</t>
        </is>
      </c>
      <c r="E83" s="4" t="inlineStr">
        <is>
          <t>float</t>
        </is>
      </c>
      <c r="F83" s="4" t="inlineStr"/>
      <c r="G83" s="4" t="inlineStr">
        <is>
          <t>阴影缩放X</t>
        </is>
      </c>
      <c r="H83" s="4" t="inlineStr"/>
    </row>
    <row r="84">
      <c r="A84" s="5">
        <f>HYPERLINK("Datas\模型配置表.xlsx","模型配置表.xlsx")</f>
        <v/>
      </c>
      <c r="B84" s="5">
        <f>HYPERLINK("Datas\模型配置表.xlsx#'Sheet1'!A1","Sheet1")</f>
        <v/>
      </c>
      <c r="C84" s="4" t="n">
        <v>15</v>
      </c>
      <c r="D84" s="4" t="inlineStr">
        <is>
          <t>ShadowScaleY</t>
        </is>
      </c>
      <c r="E84" s="4" t="inlineStr">
        <is>
          <t>float</t>
        </is>
      </c>
      <c r="F84" s="4" t="inlineStr"/>
      <c r="G84" s="4" t="inlineStr">
        <is>
          <t>阴影缩放Y</t>
        </is>
      </c>
      <c r="H84" s="4" t="inlineStr"/>
    </row>
    <row r="85">
      <c r="A85" s="5">
        <f>HYPERLINK("Datas\模型配置表.xlsx","模型配置表.xlsx")</f>
        <v/>
      </c>
      <c r="B85" s="5">
        <f>HYPERLINK("Datas\模型配置表.xlsx#'Sheet1'!A1","Sheet1")</f>
        <v/>
      </c>
      <c r="C85" s="4" t="n">
        <v>16</v>
      </c>
      <c r="D85" s="4" t="inlineStr">
        <is>
          <t>ShadowOffsetX</t>
        </is>
      </c>
      <c r="E85" s="4" t="inlineStr">
        <is>
          <t>float</t>
        </is>
      </c>
      <c r="F85" s="4" t="inlineStr"/>
      <c r="G85" s="4" t="inlineStr">
        <is>
          <t>阴影偏移X</t>
        </is>
      </c>
      <c r="H85" s="4" t="inlineStr"/>
    </row>
    <row r="86">
      <c r="A86" s="5">
        <f>HYPERLINK("Datas\模型配置表.xlsx","模型配置表.xlsx")</f>
        <v/>
      </c>
      <c r="B86" s="5">
        <f>HYPERLINK("Datas\模型配置表.xlsx#'Sheet1'!A1","Sheet1")</f>
        <v/>
      </c>
      <c r="C86" s="4" t="n">
        <v>17</v>
      </c>
      <c r="D86" s="4" t="inlineStr">
        <is>
          <t>ShadowOffsetY</t>
        </is>
      </c>
      <c r="E86" s="4" t="inlineStr">
        <is>
          <t>float</t>
        </is>
      </c>
      <c r="F86" s="4" t="inlineStr"/>
      <c r="G86" s="4" t="inlineStr">
        <is>
          <t>阴影偏移Y</t>
        </is>
      </c>
      <c r="H86" s="4" t="inlineStr"/>
    </row>
    <row r="87">
      <c r="A87" s="5">
        <f>HYPERLINK("Datas\特效配置表.xlsx","特效配置表.xlsx")</f>
        <v/>
      </c>
      <c r="B87" s="5">
        <f>HYPERLINK("Datas\特效配置表.xlsx#'Sheet1'!A1","Sheet1")</f>
        <v/>
      </c>
      <c r="C87" s="4" t="n">
        <v>2</v>
      </c>
      <c r="D87" s="4" t="inlineStr">
        <is>
          <t>ID</t>
        </is>
      </c>
      <c r="E87" s="4" t="inlineStr">
        <is>
          <t>int</t>
        </is>
      </c>
      <c r="F87" s="4" t="inlineStr"/>
      <c r="G87" s="4" t="inlineStr">
        <is>
          <t>特效ID</t>
        </is>
      </c>
      <c r="H87" s="4" t="inlineStr"/>
    </row>
    <row r="88">
      <c r="A88" s="5">
        <f>HYPERLINK("Datas\特效配置表.xlsx","特效配置表.xlsx")</f>
        <v/>
      </c>
      <c r="B88" s="5">
        <f>HYPERLINK("Datas\特效配置表.xlsx#'Sheet1'!A1","Sheet1")</f>
        <v/>
      </c>
      <c r="C88" s="4" t="n">
        <v>3</v>
      </c>
      <c r="D88" s="4" t="inlineStr">
        <is>
          <t>##备注</t>
        </is>
      </c>
      <c r="E88" s="4" t="inlineStr"/>
      <c r="F88" s="4" t="inlineStr"/>
      <c r="G88" s="4" t="inlineStr">
        <is>
          <t>备注内容</t>
        </is>
      </c>
      <c r="H88" s="4" t="inlineStr">
        <is>
          <t>是</t>
        </is>
      </c>
    </row>
    <row r="89">
      <c r="A89" s="5">
        <f>HYPERLINK("Datas\特效配置表.xlsx","特效配置表.xlsx")</f>
        <v/>
      </c>
      <c r="B89" s="5">
        <f>HYPERLINK("Datas\特效配置表.xlsx#'Sheet1'!A1","Sheet1")</f>
        <v/>
      </c>
      <c r="C89" s="4" t="n">
        <v>4</v>
      </c>
      <c r="D89" s="4" t="inlineStr">
        <is>
          <t>Location</t>
        </is>
      </c>
      <c r="E89" s="4" t="inlineStr">
        <is>
          <t>string</t>
        </is>
      </c>
      <c r="F89" s="4" t="inlineStr"/>
      <c r="G89" s="4" t="inlineStr">
        <is>
          <t>特效可寻址地址</t>
        </is>
      </c>
      <c r="H89" s="4" t="inlineStr"/>
    </row>
    <row r="90">
      <c r="A90" s="5">
        <f>HYPERLINK("Datas\特效配置表.xlsx","特效配置表.xlsx")</f>
        <v/>
      </c>
      <c r="B90" s="5">
        <f>HYPERLINK("Datas\特效配置表.xlsx#'Sheet1'!A1","Sheet1")</f>
        <v/>
      </c>
      <c r="C90" s="4" t="n">
        <v>5</v>
      </c>
      <c r="D90" s="4" t="inlineStr">
        <is>
          <t>Duration</t>
        </is>
      </c>
      <c r="E90" s="4" t="inlineStr">
        <is>
          <t>float</t>
        </is>
      </c>
      <c r="F90" s="4" t="inlineStr"/>
      <c r="G90" s="4" t="inlineStr">
        <is>
          <t>持续时间</t>
        </is>
      </c>
      <c r="H90" s="4" t="inlineStr"/>
    </row>
    <row r="91">
      <c r="A91" s="5">
        <f>HYPERLINK("Datas\特效配置表.xlsx","特效配置表.xlsx")</f>
        <v/>
      </c>
      <c r="B91" s="5">
        <f>HYPERLINK("Datas\特效配置表.xlsx#'Sheet1'!A1","Sheet1")</f>
        <v/>
      </c>
      <c r="C91" s="4" t="n">
        <v>6</v>
      </c>
      <c r="D91" s="4" t="inlineStr">
        <is>
          <t>Scale</t>
        </is>
      </c>
      <c r="E91" s="4" t="inlineStr">
        <is>
          <t>float</t>
        </is>
      </c>
      <c r="F91" s="4" t="inlineStr"/>
      <c r="G91" s="4" t="inlineStr">
        <is>
          <t>缩放比例</t>
        </is>
      </c>
      <c r="H91" s="4" t="inlineStr"/>
    </row>
    <row r="92">
      <c r="A92" s="5">
        <f>HYPERLINK("Datas\特效配置表.xlsx","特效配置表.xlsx")</f>
        <v/>
      </c>
      <c r="B92" s="5">
        <f>HYPERLINK("Datas\特效配置表.xlsx#'Sheet1'!A1","Sheet1")</f>
        <v/>
      </c>
      <c r="C92" s="4" t="n">
        <v>7</v>
      </c>
      <c r="D92" s="4" t="inlineStr">
        <is>
          <t>DelayDestroy</t>
        </is>
      </c>
      <c r="E92" s="4" t="inlineStr">
        <is>
          <t>float</t>
        </is>
      </c>
      <c r="F92" s="4" t="inlineStr"/>
      <c r="G92" s="4" t="inlineStr">
        <is>
          <t>延迟销毁时间</t>
        </is>
      </c>
      <c r="H92" s="4" t="inlineStr"/>
    </row>
    <row r="93">
      <c r="A93" s="5">
        <f>HYPERLINK("Datas\道具配置表.xlsx","道具配置表.xlsx")</f>
        <v/>
      </c>
      <c r="B93" s="5">
        <f>HYPERLINK("Datas\道具配置表.xlsx#'Sheet1'!A1","Sheet1")</f>
        <v/>
      </c>
      <c r="C93" s="4" t="n">
        <v>2</v>
      </c>
      <c r="D93" s="4" t="inlineStr">
        <is>
          <t>ItemID</t>
        </is>
      </c>
      <c r="E93" s="4" t="inlineStr">
        <is>
          <t>int</t>
        </is>
      </c>
      <c r="F93" s="4" t="inlineStr"/>
      <c r="G93" s="4" t="inlineStr">
        <is>
          <t>道具ID</t>
        </is>
      </c>
      <c r="H93" s="4" t="inlineStr"/>
    </row>
    <row r="94">
      <c r="A94" s="5">
        <f>HYPERLINK("Datas\道具配置表.xlsx","道具配置表.xlsx")</f>
        <v/>
      </c>
      <c r="B94" s="5">
        <f>HYPERLINK("Datas\道具配置表.xlsx#'Sheet1'!A1","Sheet1")</f>
        <v/>
      </c>
      <c r="C94" s="4" t="n">
        <v>3</v>
      </c>
      <c r="D94" s="4" t="inlineStr">
        <is>
          <t>ItemName</t>
        </is>
      </c>
      <c r="E94" s="4" t="inlineStr">
        <is>
          <t>string</t>
        </is>
      </c>
      <c r="F94" s="4" t="inlineStr"/>
      <c r="G94" s="4" t="inlineStr">
        <is>
          <t>道具名字</t>
        </is>
      </c>
      <c r="H94" s="4" t="inlineStr"/>
    </row>
    <row r="95">
      <c r="A95" s="5">
        <f>HYPERLINK("Datas\道具配置表.xlsx","道具配置表.xlsx")</f>
        <v/>
      </c>
      <c r="B95" s="5">
        <f>HYPERLINK("Datas\道具配置表.xlsx#'Sheet1'!A1","Sheet1")</f>
        <v/>
      </c>
      <c r="C95" s="4" t="n">
        <v>4</v>
      </c>
      <c r="D95" s="4" t="inlineStr">
        <is>
          <t>Quality</t>
        </is>
      </c>
      <c r="E95" s="4" t="inlineStr">
        <is>
          <t>ColorQuality</t>
        </is>
      </c>
      <c r="F95" s="4" t="inlineStr"/>
      <c r="G95" s="4" t="inlineStr">
        <is>
          <t>道具品质</t>
        </is>
      </c>
      <c r="H95" s="4" t="inlineStr"/>
    </row>
    <row r="96">
      <c r="A96" s="5">
        <f>HYPERLINK("Datas\道具配置表.xlsx","道具配置表.xlsx")</f>
        <v/>
      </c>
      <c r="B96" s="5">
        <f>HYPERLINK("Datas\道具配置表.xlsx#'Sheet1'!A1","Sheet1")</f>
        <v/>
      </c>
      <c r="C96" s="4" t="n">
        <v>5</v>
      </c>
      <c r="D96" s="4" t="inlineStr">
        <is>
          <t>IconName_Man</t>
        </is>
      </c>
      <c r="E96" s="4" t="inlineStr">
        <is>
          <t>string</t>
        </is>
      </c>
      <c r="F96" s="4" t="inlineStr"/>
      <c r="G96" s="4" t="inlineStr">
        <is>
          <t>图标资源名_男</t>
        </is>
      </c>
      <c r="H96" s="4" t="inlineStr"/>
    </row>
    <row r="97">
      <c r="A97" s="5">
        <f>HYPERLINK("Datas\道具配置表.xlsx","道具配置表.xlsx")</f>
        <v/>
      </c>
      <c r="B97" s="5">
        <f>HYPERLINK("Datas\道具配置表.xlsx#'Sheet1'!A1","Sheet1")</f>
        <v/>
      </c>
      <c r="C97" s="4" t="n">
        <v>6</v>
      </c>
      <c r="D97" s="4" t="inlineStr">
        <is>
          <t>IconName_Woman</t>
        </is>
      </c>
      <c r="E97" s="4" t="inlineStr">
        <is>
          <t>string</t>
        </is>
      </c>
      <c r="F97" s="4" t="inlineStr"/>
      <c r="G97" s="4" t="inlineStr">
        <is>
          <t>图标资源名_女</t>
        </is>
      </c>
      <c r="H97" s="4" t="inlineStr"/>
    </row>
    <row r="98">
      <c r="A98" s="5">
        <f>HYPERLINK("Datas\道具配置表.xlsx","道具配置表.xlsx")</f>
        <v/>
      </c>
      <c r="B98" s="5">
        <f>HYPERLINK("Datas\道具配置表.xlsx#'Sheet1'!A1","Sheet1")</f>
        <v/>
      </c>
      <c r="C98" s="4" t="n">
        <v>7</v>
      </c>
      <c r="D98" s="4" t="inlineStr">
        <is>
          <t>Desc</t>
        </is>
      </c>
      <c r="E98" s="4" t="inlineStr">
        <is>
          <t>string</t>
        </is>
      </c>
      <c r="F98" s="4" t="inlineStr">
        <is>
          <t>c</t>
        </is>
      </c>
      <c r="G98" s="4" t="inlineStr">
        <is>
          <t>道具描述</t>
        </is>
      </c>
      <c r="H98" s="4" t="inlineStr"/>
    </row>
    <row r="99">
      <c r="A99" s="5">
        <f>HYPERLINK("Datas\道具配置表.xlsx","道具配置表.xlsx")</f>
        <v/>
      </c>
      <c r="B99" s="5">
        <f>HYPERLINK("Datas\道具配置表.xlsx#'Sheet1'!A1","Sheet1")</f>
        <v/>
      </c>
      <c r="C99" s="4" t="n">
        <v>8</v>
      </c>
      <c r="D99" s="4" t="inlineStr">
        <is>
          <t>price</t>
        </is>
      </c>
      <c r="E99" s="4" t="inlineStr">
        <is>
          <t>int</t>
        </is>
      </c>
      <c r="F99" s="4" t="inlineStr"/>
      <c r="G99" s="4" t="inlineStr">
        <is>
          <t>价格</t>
        </is>
      </c>
      <c r="H99" s="4" t="inlineStr"/>
    </row>
    <row r="100">
      <c r="A100" s="5">
        <f>HYPERLINK("Datas\道具配置表.xlsx","道具配置表.xlsx")</f>
        <v/>
      </c>
      <c r="B100" s="5">
        <f>HYPERLINK("Datas\道具配置表.xlsx#'Sheet1'!A1","Sheet1")</f>
        <v/>
      </c>
      <c r="C100" s="4" t="n">
        <v>9</v>
      </c>
      <c r="D100" s="4" t="inlineStr">
        <is>
          <t>##upgrade_to_item_id</t>
        </is>
      </c>
      <c r="E100" s="4" t="inlineStr">
        <is>
          <t>int#ref=item.TbItem</t>
        </is>
      </c>
      <c r="F100" s="4" t="inlineStr"/>
      <c r="G100" s="4" t="inlineStr">
        <is>
          <t>引用当前表</t>
        </is>
      </c>
      <c r="H100" s="4" t="inlineStr">
        <is>
          <t>是</t>
        </is>
      </c>
    </row>
    <row r="101">
      <c r="A101" s="5">
        <f>HYPERLINK("Datas\道具配置表.xlsx","道具配置表.xlsx")</f>
        <v/>
      </c>
      <c r="B101" s="5">
        <f>HYPERLINK("Datas\道具配置表.xlsx#'Sheet1'!A1","Sheet1")</f>
        <v/>
      </c>
      <c r="C101" s="4" t="n">
        <v>10</v>
      </c>
      <c r="D101" s="4" t="inlineStr">
        <is>
          <t>expire_time</t>
        </is>
      </c>
      <c r="E101" s="4" t="inlineStr">
        <is>
          <t>datetime?</t>
        </is>
      </c>
      <c r="F101" s="4" t="inlineStr"/>
      <c r="G101" s="4" t="inlineStr">
        <is>
          <t>过期时间</t>
        </is>
      </c>
      <c r="H101" s="4" t="inlineStr"/>
    </row>
    <row r="102">
      <c r="A102" s="5">
        <f>HYPERLINK("Datas\道具配置表.xlsx","道具配置表.xlsx")</f>
        <v/>
      </c>
      <c r="B102" s="5">
        <f>HYPERLINK("Datas\道具配置表.xlsx#'Sheet1'!A1","Sheet1")</f>
        <v/>
      </c>
      <c r="C102" s="4" t="n">
        <v>11</v>
      </c>
      <c r="D102" s="4" t="inlineStr">
        <is>
          <t>batch_useable</t>
        </is>
      </c>
      <c r="E102" s="4" t="inlineStr">
        <is>
          <t>bool</t>
        </is>
      </c>
      <c r="F102" s="4" t="inlineStr">
        <is>
          <t>c</t>
        </is>
      </c>
      <c r="G102" s="4" t="inlineStr">
        <is>
          <t>能否批量使用</t>
        </is>
      </c>
      <c r="H102" s="4" t="inlineStr"/>
    </row>
    <row r="103">
      <c r="A103" s="5">
        <f>HYPERLINK("Datas\道具配置表.xlsx","道具配置表.xlsx")</f>
        <v/>
      </c>
      <c r="B103" s="5">
        <f>HYPERLINK("Datas\道具配置表.xlsx#'Sheet1'!A1","Sheet1")</f>
        <v/>
      </c>
      <c r="C103" s="4" t="n">
        <v>12</v>
      </c>
      <c r="D103" s="4" t="inlineStr">
        <is>
          <t>##exchange_stream</t>
        </is>
      </c>
      <c r="E103" s="4" t="inlineStr">
        <is>
          <t>item.ItemExchange</t>
        </is>
      </c>
      <c r="F103" s="4" t="inlineStr">
        <is>
          <t>c</t>
        </is>
      </c>
      <c r="G103" s="4" t="inlineStr">
        <is>
          <t>##道具兑换配置</t>
        </is>
      </c>
      <c r="H103" s="4" t="inlineStr">
        <is>
          <t>是</t>
        </is>
      </c>
    </row>
    <row r="104">
      <c r="A104" s="5">
        <f>HYPERLINK("Datas\道具配置表.xlsx","道具配置表.xlsx")</f>
        <v/>
      </c>
      <c r="B104" s="5">
        <f>HYPERLINK("Datas\道具配置表.xlsx#'Sheet1'!A1","Sheet1")</f>
        <v/>
      </c>
      <c r="C104" s="4" t="n">
        <v>13</v>
      </c>
      <c r="D104" s="4" t="inlineStr">
        <is>
          <t>##exchange_list</t>
        </is>
      </c>
      <c r="E104" s="4" t="inlineStr">
        <is>
          <t>(list#sep=;),item.ItemExchange</t>
        </is>
      </c>
      <c r="F104" s="4" t="inlineStr">
        <is>
          <t>c,s</t>
        </is>
      </c>
      <c r="G104" s="4" t="inlineStr">
        <is>
          <t>##</t>
        </is>
      </c>
      <c r="H104" s="4" t="inlineStr">
        <is>
          <t>是</t>
        </is>
      </c>
    </row>
    <row r="105">
      <c r="A105" s="5">
        <f>HYPERLINK("Datas\道具配置表.xlsx","道具配置表.xlsx")</f>
        <v/>
      </c>
      <c r="B105" s="5">
        <f>HYPERLINK("Datas\道具配置表.xlsx#'Sheet1'!A1","Sheet1")</f>
        <v/>
      </c>
      <c r="C105" s="4" t="n">
        <v>14</v>
      </c>
      <c r="D105" s="4" t="inlineStr">
        <is>
          <t>##exchange_column</t>
        </is>
      </c>
      <c r="E105" s="4" t="inlineStr">
        <is>
          <t>item.ItemExchange</t>
        </is>
      </c>
      <c r="F105" s="4" t="inlineStr"/>
      <c r="G105" s="4" t="inlineStr">
        <is>
          <t>##道具兑换配置</t>
        </is>
      </c>
      <c r="H105" s="4" t="inlineStr">
        <is>
          <t>是</t>
        </is>
      </c>
    </row>
    <row r="106">
      <c r="A106" s="5">
        <f>HYPERLINK("Datas\音效配置表.xlsx","音效配置表.xlsx")</f>
        <v/>
      </c>
      <c r="B106" s="5">
        <f>HYPERLINK("Datas\音效配置表.xlsx#'Sheet1'!A1","Sheet1")</f>
        <v/>
      </c>
      <c r="C106" s="4" t="n">
        <v>2</v>
      </c>
      <c r="D106" s="4" t="inlineStr">
        <is>
          <t>ID</t>
        </is>
      </c>
      <c r="E106" s="4" t="inlineStr">
        <is>
          <t>int</t>
        </is>
      </c>
      <c r="F106" s="4" t="inlineStr"/>
      <c r="G106" s="4" t="inlineStr">
        <is>
          <t>音效ID</t>
        </is>
      </c>
      <c r="H106" s="4" t="inlineStr"/>
    </row>
    <row r="107">
      <c r="A107" s="5">
        <f>HYPERLINK("Datas\音效配置表.xlsx","音效配置表.xlsx")</f>
        <v/>
      </c>
      <c r="B107" s="5">
        <f>HYPERLINK("Datas\音效配置表.xlsx#'Sheet1'!A1","Sheet1")</f>
        <v/>
      </c>
      <c r="C107" s="4" t="n">
        <v>3</v>
      </c>
      <c r="D107" s="4" t="inlineStr">
        <is>
          <t>Location</t>
        </is>
      </c>
      <c r="E107" s="4" t="inlineStr">
        <is>
          <t>string</t>
        </is>
      </c>
      <c r="F107" s="4" t="inlineStr"/>
      <c r="G107" s="4" t="inlineStr">
        <is>
          <t>音效可寻址地址</t>
        </is>
      </c>
      <c r="H107" s="4" t="inlineStr"/>
    </row>
    <row r="108">
      <c r="A108" s="5">
        <f>HYPERLINK("Datas\音效配置表.xlsx","音效配置表.xlsx")</f>
        <v/>
      </c>
      <c r="B108" s="5">
        <f>HYPERLINK("Datas\音效配置表.xlsx#'Sheet1'!A1","Sheet1")</f>
        <v/>
      </c>
      <c r="C108" s="4" t="n">
        <v>4</v>
      </c>
      <c r="D108" s="4" t="inlineStr">
        <is>
          <t>##备注</t>
        </is>
      </c>
      <c r="E108" s="4" t="inlineStr"/>
      <c r="F108" s="4" t="inlineStr"/>
      <c r="G108" s="4" t="inlineStr">
        <is>
          <t>备注内容</t>
        </is>
      </c>
      <c r="H108" s="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生成时间</t>
        </is>
      </c>
      <c r="B1" s="1" t="inlineStr">
        <is>
          <t>2026-07-05 19:15:55</t>
        </is>
      </c>
    </row>
    <row r="2">
      <c r="A2" s="4" t="inlineStr">
        <is>
          <t>扫描目录</t>
        </is>
      </c>
      <c r="B2" s="4" t="inlineStr">
        <is>
          <t>D:\Unity\GitHub_Project\DGame\GameConfig\Datas</t>
        </is>
      </c>
    </row>
    <row r="3">
      <c r="A3" s="4" t="inlineStr">
        <is>
          <t>输出文件</t>
        </is>
      </c>
      <c r="B3" s="4" t="inlineStr">
        <is>
          <t>D:\Unity\GitHub_Project\DGame\GameConfig\配置表导航.xlsx</t>
        </is>
      </c>
    </row>
    <row r="4">
      <c r="A4" s="4" t="inlineStr">
        <is>
          <t>参考文件</t>
        </is>
      </c>
      <c r="B4" s="4" t="inlineStr">
        <is>
          <t>D:\Unity\Unity_Project\data\xls\配置文件表.xlsm</t>
        </is>
      </c>
    </row>
    <row r="5">
      <c r="A5" s="4" t="inlineStr">
        <is>
          <t>导航结构</t>
        </is>
      </c>
      <c r="B5" s="4" t="inlineStr">
        <is>
          <t>参考 LeanNew 配置表目录：文件夹 -&gt; 文件名 -&gt; 工作表名，工作表名单元格链接到对应 Excel Sheet。</t>
        </is>
      </c>
    </row>
    <row r="6">
      <c r="A6" s="4" t="inlineStr">
        <is>
          <t>文件格式</t>
        </is>
      </c>
      <c r="B6" s="4" t="inlineStr">
        <is>
          <t>本脚本生成 xlsx，无 VBA 宏；如果需要点击文件夹折叠，请基于 xlsm 宏模板另行扩展。</t>
        </is>
      </c>
    </row>
    <row r="7">
      <c r="A7" s="4" t="inlineStr">
        <is>
          <t>数据行数规则</t>
        </is>
      </c>
      <c r="B7" s="4" t="inlineStr">
        <is>
          <t>从最后一个 Luban 标记行（##var/##type/##group/## 等）之后开始统计非空数据行。</t>
        </is>
      </c>
    </row>
    <row r="8">
      <c r="A8" s="4" t="inlineStr">
        <is>
          <t>字段数规则</t>
        </is>
      </c>
      <c r="B8" s="4" t="inlineStr">
        <is>
          <t>字段名前缀为 ## 的注释列不计入导出字段数，但仍收录在 字段索引。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2026-07-05T11:15:55Z</dcterms:created>
  <dcterms:modified xsi:type="dcterms:W3CDTF">2026-07-05T11:15:55Z</dcterms:modified>
</cp:coreProperties>
</file>